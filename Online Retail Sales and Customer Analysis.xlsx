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9.xml" ContentType="application/vnd.openxmlformats-officedocument.drawing+xml"/>
  <Override PartName="/xl/tables/table7.xml" ContentType="application/vnd.openxmlformats-officedocument.spreadsheetml.table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uraguru/Desktop/Skillovilla/Projects/Excel Project/"/>
    </mc:Choice>
  </mc:AlternateContent>
  <xr:revisionPtr revIDLastSave="0" documentId="13_ncr:1_{8A9BF562-E77E-7041-B37D-EB9F0A45D8FA}" xr6:coauthVersionLast="47" xr6:coauthVersionMax="47" xr10:uidLastSave="{00000000-0000-0000-0000-000000000000}"/>
  <bookViews>
    <workbookView xWindow="0" yWindow="660" windowWidth="30240" windowHeight="17420" xr2:uid="{00000000-000D-0000-FFFF-FFFF00000000}"/>
  </bookViews>
  <sheets>
    <sheet name="Dashboard" sheetId="1" r:id="rId1"/>
    <sheet name="Sales Analysis" sheetId="2" r:id="rId2"/>
    <sheet name="Monthly Analysis" sheetId="3" r:id="rId3"/>
    <sheet name="Country Analysis" sheetId="4" r:id="rId4"/>
    <sheet name="Product Analysis" sheetId="5" r:id="rId5"/>
    <sheet name="Customer Analysis" sheetId="6" r:id="rId6"/>
    <sheet name="Returns &amp; Cancellations" sheetId="7" r:id="rId7"/>
    <sheet name="Time Analysis" sheetId="8" r:id="rId8"/>
    <sheet name="Data Quality" sheetId="9" r:id="rId9"/>
    <sheet name="Data Dictionary" sheetId="10" r:id="rId10"/>
    <sheet name="Transaction Data" sheetId="11" r:id="rId11"/>
  </sheets>
  <definedNames>
    <definedName name="_xlnm._FilterDatabase" localSheetId="10" hidden="1">'Transaction Data'!$D$4:$W$1004</definedName>
    <definedName name="_xlnm.Print_Area" localSheetId="3">'Country Analysis'!$A$1:$N$75</definedName>
    <definedName name="_xlnm.Print_Area" localSheetId="5">'Customer Analysis'!$A$1:$O$75</definedName>
    <definedName name="_xlnm.Print_Area" localSheetId="9">'Data Dictionary'!$A$1:$E$32</definedName>
    <definedName name="_xlnm.Print_Area" localSheetId="8">'Data Quality'!$A$1:$F$52</definedName>
    <definedName name="_xlnm.Print_Area" localSheetId="2">'Monthly Analysis'!$A$1:$O$80</definedName>
    <definedName name="_xlnm.Print_Area" localSheetId="4">'Product Analysis'!$A$1:$M$75</definedName>
    <definedName name="_xlnm.Print_Area" localSheetId="6">'Returns &amp; Cancellations'!$A$1:$O$78</definedName>
    <definedName name="_xlnm.Print_Area" localSheetId="1">'Sales Analysis'!$B$1:$O$82</definedName>
    <definedName name="_xlnm.Print_Area" localSheetId="7">'Time Analysis'!$A$1:$O$72</definedName>
    <definedName name="_xlnm.Print_Area" localSheetId="10">'Transaction Data'!$A$1:$W$40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2" l="1"/>
  <c r="K30" i="2"/>
  <c r="K31" i="2"/>
  <c r="K32" i="2"/>
  <c r="K33" i="2"/>
  <c r="K34" i="2"/>
  <c r="K35" i="2"/>
  <c r="K36" i="2"/>
  <c r="K37" i="2"/>
  <c r="K38" i="2"/>
  <c r="K39" i="2"/>
  <c r="K40" i="2"/>
  <c r="K41" i="2"/>
  <c r="U1004" i="11"/>
  <c r="U1003" i="11"/>
  <c r="U1002" i="11"/>
  <c r="U1001" i="11"/>
  <c r="U1000" i="11"/>
  <c r="U999" i="11"/>
  <c r="U998" i="11"/>
  <c r="U997" i="11"/>
  <c r="U996" i="11"/>
  <c r="U995" i="11"/>
  <c r="U994" i="11"/>
  <c r="U993" i="11"/>
  <c r="U992" i="11"/>
  <c r="U991" i="11"/>
  <c r="U990" i="11"/>
  <c r="U989" i="11"/>
  <c r="U988" i="11"/>
  <c r="U987" i="11"/>
  <c r="U986" i="11"/>
  <c r="U985" i="11"/>
  <c r="U984" i="11"/>
  <c r="U983" i="11"/>
  <c r="U982" i="11"/>
  <c r="U981" i="11"/>
  <c r="U980" i="11"/>
  <c r="U979" i="11"/>
  <c r="U978" i="11"/>
  <c r="U977" i="11"/>
  <c r="U976" i="11"/>
  <c r="U975" i="11"/>
  <c r="U974" i="11"/>
  <c r="U973" i="11"/>
  <c r="U972" i="11"/>
  <c r="U971" i="11"/>
  <c r="U970" i="11"/>
  <c r="U969" i="11"/>
  <c r="U968" i="11"/>
  <c r="U967" i="11"/>
  <c r="U966" i="11"/>
  <c r="U965" i="11"/>
  <c r="U964" i="11"/>
  <c r="U963" i="11"/>
  <c r="U962" i="11"/>
  <c r="U961" i="11"/>
  <c r="U960" i="11"/>
  <c r="U959" i="11"/>
  <c r="U958" i="11"/>
  <c r="U957" i="11"/>
  <c r="U956" i="11"/>
  <c r="U955" i="11"/>
  <c r="U954" i="11"/>
  <c r="U953" i="11"/>
  <c r="U952" i="11"/>
  <c r="U951" i="11"/>
  <c r="U950" i="11"/>
  <c r="U949" i="11"/>
  <c r="U948" i="11"/>
  <c r="U947" i="11"/>
  <c r="U946" i="11"/>
  <c r="U945" i="11"/>
  <c r="U944" i="11"/>
  <c r="U943" i="11"/>
  <c r="U942" i="11"/>
  <c r="U941" i="11"/>
  <c r="U940" i="11"/>
  <c r="U939" i="11"/>
  <c r="U938" i="11"/>
  <c r="U937" i="11"/>
  <c r="U936" i="11"/>
  <c r="U935" i="11"/>
  <c r="U934" i="11"/>
  <c r="U933" i="11"/>
  <c r="U932" i="11"/>
  <c r="U931" i="11"/>
  <c r="U930" i="11"/>
  <c r="U929" i="11"/>
  <c r="U928" i="11"/>
  <c r="U927" i="11"/>
  <c r="U926" i="11"/>
  <c r="U925" i="11"/>
  <c r="U924" i="11"/>
  <c r="U923" i="11"/>
  <c r="U922" i="11"/>
  <c r="U921" i="11"/>
  <c r="U920" i="11"/>
  <c r="U919" i="11"/>
  <c r="U918" i="11"/>
  <c r="U917" i="11"/>
  <c r="U916" i="11"/>
  <c r="U915" i="11"/>
  <c r="U914" i="11"/>
  <c r="U913" i="11"/>
  <c r="U912" i="11"/>
  <c r="U911" i="11"/>
  <c r="U910" i="11"/>
  <c r="U909" i="11"/>
  <c r="U908" i="11"/>
  <c r="U907" i="11"/>
  <c r="U906" i="11"/>
  <c r="U905" i="11"/>
  <c r="U904" i="11"/>
  <c r="U903" i="11"/>
  <c r="U902" i="11"/>
  <c r="U901" i="11"/>
  <c r="U900" i="11"/>
  <c r="U899" i="11"/>
  <c r="U898" i="11"/>
  <c r="U897" i="11"/>
  <c r="U896" i="11"/>
  <c r="U895" i="11"/>
  <c r="U894" i="11"/>
  <c r="U893" i="11"/>
  <c r="U892" i="11"/>
  <c r="U891" i="11"/>
  <c r="U890" i="11"/>
  <c r="U889" i="11"/>
  <c r="U888" i="11"/>
  <c r="U887" i="11"/>
  <c r="U886" i="11"/>
  <c r="U885" i="11"/>
  <c r="U884" i="11"/>
  <c r="U883" i="11"/>
  <c r="U882" i="11"/>
  <c r="U881" i="11"/>
  <c r="U880" i="11"/>
  <c r="U879" i="11"/>
  <c r="U878" i="11"/>
  <c r="U877" i="11"/>
  <c r="U876" i="11"/>
  <c r="U875" i="11"/>
  <c r="U874" i="11"/>
  <c r="U873" i="11"/>
  <c r="U872" i="11"/>
  <c r="U871" i="11"/>
  <c r="U870" i="11"/>
  <c r="U869" i="11"/>
  <c r="U868" i="11"/>
  <c r="U867" i="11"/>
  <c r="U866" i="11"/>
  <c r="U865" i="11"/>
  <c r="U864" i="11"/>
  <c r="U863" i="11"/>
  <c r="U862" i="11"/>
  <c r="U861" i="11"/>
  <c r="U860" i="11"/>
  <c r="U859" i="11"/>
  <c r="U858" i="11"/>
  <c r="U857" i="11"/>
  <c r="U856" i="11"/>
  <c r="U855" i="11"/>
  <c r="U854" i="11"/>
  <c r="U853" i="11"/>
  <c r="U852" i="11"/>
  <c r="U851" i="11"/>
  <c r="U850" i="11"/>
  <c r="U849" i="11"/>
  <c r="U848" i="11"/>
  <c r="U847" i="11"/>
  <c r="U846" i="11"/>
  <c r="U845" i="11"/>
  <c r="U844" i="11"/>
  <c r="U843" i="11"/>
  <c r="U842" i="11"/>
  <c r="U841" i="11"/>
  <c r="U840" i="11"/>
  <c r="U839" i="11"/>
  <c r="U838" i="11"/>
  <c r="U837" i="11"/>
  <c r="U836" i="11"/>
  <c r="U835" i="11"/>
  <c r="U834" i="11"/>
  <c r="U833" i="11"/>
  <c r="U832" i="11"/>
  <c r="U831" i="11"/>
  <c r="U830" i="11"/>
  <c r="U829" i="11"/>
  <c r="U828" i="11"/>
  <c r="U827" i="11"/>
  <c r="U826" i="11"/>
  <c r="U825" i="11"/>
  <c r="U824" i="11"/>
  <c r="U823" i="11"/>
  <c r="U822" i="11"/>
  <c r="U821" i="11"/>
  <c r="U820" i="11"/>
  <c r="U819" i="11"/>
  <c r="U818" i="11"/>
  <c r="U817" i="11"/>
  <c r="U816" i="11"/>
  <c r="U815" i="11"/>
  <c r="U814" i="11"/>
  <c r="U813" i="11"/>
  <c r="U812" i="11"/>
  <c r="U811" i="11"/>
  <c r="U810" i="11"/>
  <c r="U809" i="11"/>
  <c r="U808" i="11"/>
  <c r="U807" i="11"/>
  <c r="U806" i="11"/>
  <c r="U805" i="11"/>
  <c r="U804" i="11"/>
  <c r="U803" i="11"/>
  <c r="U802" i="11"/>
  <c r="U801" i="11"/>
  <c r="U800" i="11"/>
  <c r="U799" i="11"/>
  <c r="U798" i="11"/>
  <c r="U797" i="11"/>
  <c r="U796" i="11"/>
  <c r="U795" i="11"/>
  <c r="U794" i="11"/>
  <c r="U793" i="11"/>
  <c r="U792" i="11"/>
  <c r="U791" i="11"/>
  <c r="U790" i="11"/>
  <c r="U789" i="11"/>
  <c r="U788" i="11"/>
  <c r="U787" i="11"/>
  <c r="U786" i="11"/>
  <c r="U785" i="11"/>
  <c r="U784" i="11"/>
  <c r="U783" i="11"/>
  <c r="U782" i="11"/>
  <c r="U781" i="11"/>
  <c r="U780" i="11"/>
  <c r="U779" i="11"/>
  <c r="U778" i="11"/>
  <c r="U777" i="11"/>
  <c r="U776" i="11"/>
  <c r="U775" i="11"/>
  <c r="U774" i="11"/>
  <c r="U773" i="11"/>
  <c r="U772" i="11"/>
  <c r="U771" i="11"/>
  <c r="U770" i="11"/>
  <c r="U769" i="11"/>
  <c r="U768" i="11"/>
  <c r="U767" i="11"/>
  <c r="U766" i="11"/>
  <c r="U765" i="11"/>
  <c r="U764" i="11"/>
  <c r="U763" i="11"/>
  <c r="U762" i="11"/>
  <c r="U761" i="11"/>
  <c r="U760" i="11"/>
  <c r="U759" i="11"/>
  <c r="U758" i="11"/>
  <c r="U757" i="11"/>
  <c r="U756" i="11"/>
  <c r="U755" i="11"/>
  <c r="U754" i="11"/>
  <c r="U753" i="11"/>
  <c r="U752" i="11"/>
  <c r="U751" i="11"/>
  <c r="U750" i="11"/>
  <c r="U749" i="11"/>
  <c r="U748" i="11"/>
  <c r="U747" i="11"/>
  <c r="U746" i="11"/>
  <c r="U745" i="11"/>
  <c r="U744" i="11"/>
  <c r="U743" i="11"/>
  <c r="U742" i="11"/>
  <c r="U741" i="11"/>
  <c r="U740" i="11"/>
  <c r="U739" i="11"/>
  <c r="U738" i="11"/>
  <c r="U737" i="11"/>
  <c r="U736" i="11"/>
  <c r="U735" i="11"/>
  <c r="U734" i="11"/>
  <c r="U733" i="11"/>
  <c r="U732" i="11"/>
  <c r="U731" i="11"/>
  <c r="U730" i="11"/>
  <c r="U729" i="11"/>
  <c r="U728" i="11"/>
  <c r="U727" i="11"/>
  <c r="U726" i="11"/>
  <c r="U725" i="11"/>
  <c r="U724" i="11"/>
  <c r="U723" i="11"/>
  <c r="U722" i="11"/>
  <c r="U721" i="11"/>
  <c r="U720" i="11"/>
  <c r="U719" i="11"/>
  <c r="U718" i="11"/>
  <c r="U717" i="11"/>
  <c r="U716" i="11"/>
  <c r="U715" i="11"/>
  <c r="U714" i="11"/>
  <c r="U713" i="11"/>
  <c r="U712" i="11"/>
  <c r="U711" i="11"/>
  <c r="U710" i="11"/>
  <c r="U709" i="11"/>
  <c r="U708" i="11"/>
  <c r="U707" i="11"/>
  <c r="U706" i="11"/>
  <c r="U705" i="11"/>
  <c r="U704" i="11"/>
  <c r="U703" i="11"/>
  <c r="U702" i="11"/>
  <c r="U701" i="11"/>
  <c r="U700" i="11"/>
  <c r="U699" i="11"/>
  <c r="U698" i="11"/>
  <c r="U697" i="11"/>
  <c r="U696" i="11"/>
  <c r="U695" i="11"/>
  <c r="U694" i="11"/>
  <c r="U693" i="11"/>
  <c r="U692" i="11"/>
  <c r="U691" i="11"/>
  <c r="U690" i="11"/>
  <c r="U689" i="11"/>
  <c r="U688" i="11"/>
  <c r="U687" i="11"/>
  <c r="U686" i="11"/>
  <c r="U685" i="11"/>
  <c r="U684" i="11"/>
  <c r="U683" i="11"/>
  <c r="U682" i="11"/>
  <c r="U681" i="11"/>
  <c r="U680" i="11"/>
  <c r="U679" i="11"/>
  <c r="U678" i="11"/>
  <c r="U677" i="11"/>
  <c r="U676" i="11"/>
  <c r="U675" i="11"/>
  <c r="U674" i="11"/>
  <c r="U673" i="11"/>
  <c r="U672" i="11"/>
  <c r="U671" i="11"/>
  <c r="U670" i="11"/>
  <c r="U669" i="11"/>
  <c r="U668" i="11"/>
  <c r="U667" i="11"/>
  <c r="U666" i="11"/>
  <c r="U665" i="11"/>
  <c r="U664" i="11"/>
  <c r="U663" i="11"/>
  <c r="U662" i="11"/>
  <c r="U661" i="11"/>
  <c r="U660" i="11"/>
  <c r="U659" i="11"/>
  <c r="U658" i="11"/>
  <c r="U657" i="11"/>
  <c r="U656" i="11"/>
  <c r="U655" i="11"/>
  <c r="U654" i="11"/>
  <c r="U653" i="11"/>
  <c r="U652" i="11"/>
  <c r="U651" i="11"/>
  <c r="U650" i="11"/>
  <c r="U649" i="11"/>
  <c r="U648" i="11"/>
  <c r="U647" i="11"/>
  <c r="U646" i="11"/>
  <c r="U645" i="11"/>
  <c r="U644" i="11"/>
  <c r="U643" i="11"/>
  <c r="U642" i="11"/>
  <c r="U641" i="11"/>
  <c r="U640" i="11"/>
  <c r="U639" i="11"/>
  <c r="U638" i="11"/>
  <c r="U637" i="11"/>
  <c r="U636" i="11"/>
  <c r="U635" i="11"/>
  <c r="U634" i="11"/>
  <c r="U633" i="11"/>
  <c r="U632" i="11"/>
  <c r="U631" i="11"/>
  <c r="U630" i="11"/>
  <c r="U629" i="11"/>
  <c r="U628" i="11"/>
  <c r="U627" i="11"/>
  <c r="U626" i="11"/>
  <c r="U625" i="11"/>
  <c r="U624" i="11"/>
  <c r="U623" i="11"/>
  <c r="U622" i="11"/>
  <c r="U621" i="11"/>
  <c r="U620" i="11"/>
  <c r="U619" i="11"/>
  <c r="U618" i="11"/>
  <c r="U617" i="11"/>
  <c r="U616" i="11"/>
  <c r="U615" i="11"/>
  <c r="U614" i="11"/>
  <c r="U613" i="11"/>
  <c r="U612" i="11"/>
  <c r="U611" i="11"/>
  <c r="U610" i="11"/>
  <c r="U609" i="11"/>
  <c r="U608" i="11"/>
  <c r="U607" i="11"/>
  <c r="U606" i="11"/>
  <c r="U605" i="11"/>
  <c r="U604" i="11"/>
  <c r="U603" i="11"/>
  <c r="U602" i="11"/>
  <c r="U601" i="11"/>
  <c r="U600" i="11"/>
  <c r="U599" i="11"/>
  <c r="U598" i="11"/>
  <c r="U597" i="11"/>
  <c r="U596" i="11"/>
  <c r="U595" i="11"/>
  <c r="U594" i="11"/>
  <c r="U593" i="11"/>
  <c r="U592" i="11"/>
  <c r="U591" i="11"/>
  <c r="U590" i="11"/>
  <c r="U589" i="11"/>
  <c r="U588" i="11"/>
  <c r="U587" i="11"/>
  <c r="U586" i="11"/>
  <c r="U585" i="11"/>
  <c r="U584" i="11"/>
  <c r="U583" i="11"/>
  <c r="U582" i="11"/>
  <c r="U581" i="11"/>
  <c r="U580" i="11"/>
  <c r="U579" i="11"/>
  <c r="U578" i="11"/>
  <c r="U577" i="11"/>
  <c r="U576" i="11"/>
  <c r="U575" i="11"/>
  <c r="U574" i="11"/>
  <c r="U573" i="11"/>
  <c r="U572" i="11"/>
  <c r="U571" i="11"/>
  <c r="U570" i="11"/>
  <c r="U569" i="11"/>
  <c r="U568" i="11"/>
  <c r="U567" i="11"/>
  <c r="U566" i="11"/>
  <c r="U565" i="11"/>
  <c r="U564" i="11"/>
  <c r="U563" i="11"/>
  <c r="U562" i="11"/>
  <c r="U561" i="11"/>
  <c r="U560" i="11"/>
  <c r="U559" i="11"/>
  <c r="U558" i="11"/>
  <c r="U557" i="11"/>
  <c r="U556" i="11"/>
  <c r="U555" i="11"/>
  <c r="U554" i="11"/>
  <c r="U553" i="11"/>
  <c r="U552" i="11"/>
  <c r="U551" i="11"/>
  <c r="U550" i="11"/>
  <c r="U549" i="11"/>
  <c r="U548" i="11"/>
  <c r="U547" i="11"/>
  <c r="U546" i="11"/>
  <c r="U545" i="11"/>
  <c r="U544" i="11"/>
  <c r="U543" i="11"/>
  <c r="U542" i="11"/>
  <c r="U541" i="11"/>
  <c r="U540" i="11"/>
  <c r="U539" i="11"/>
  <c r="U538" i="11"/>
  <c r="U537" i="11"/>
  <c r="U536" i="11"/>
  <c r="U535" i="11"/>
  <c r="U534" i="11"/>
  <c r="U533" i="11"/>
  <c r="U532" i="11"/>
  <c r="U531" i="11"/>
  <c r="U530" i="11"/>
  <c r="U529" i="11"/>
  <c r="U528" i="11"/>
  <c r="U527" i="11"/>
  <c r="U526" i="11"/>
  <c r="U525" i="11"/>
  <c r="U524" i="11"/>
  <c r="U523" i="11"/>
  <c r="U522" i="11"/>
  <c r="U521" i="11"/>
  <c r="U520" i="11"/>
  <c r="U519" i="11"/>
  <c r="U518" i="11"/>
  <c r="U517" i="11"/>
  <c r="U516" i="11"/>
  <c r="U515" i="11"/>
  <c r="U514" i="11"/>
  <c r="U513" i="11"/>
  <c r="U512" i="11"/>
  <c r="U511" i="11"/>
  <c r="U510" i="11"/>
  <c r="U509" i="11"/>
  <c r="U508" i="11"/>
  <c r="U507" i="11"/>
  <c r="U506" i="11"/>
  <c r="U505" i="11"/>
  <c r="U504" i="11"/>
  <c r="U503" i="11"/>
  <c r="U502" i="11"/>
  <c r="U501" i="11"/>
  <c r="U500" i="11"/>
  <c r="U499" i="11"/>
  <c r="U498" i="11"/>
  <c r="U497" i="11"/>
  <c r="U496" i="11"/>
  <c r="U495" i="11"/>
  <c r="U494" i="11"/>
  <c r="U493" i="11"/>
  <c r="U492" i="11"/>
  <c r="U491" i="11"/>
  <c r="U490" i="11"/>
  <c r="U489" i="11"/>
  <c r="U488" i="11"/>
  <c r="U487" i="11"/>
  <c r="U486" i="11"/>
  <c r="U485" i="11"/>
  <c r="U484" i="11"/>
  <c r="U483" i="11"/>
  <c r="U482" i="11"/>
  <c r="U481" i="11"/>
  <c r="U480" i="11"/>
  <c r="U479" i="11"/>
  <c r="U478" i="11"/>
  <c r="U477" i="11"/>
  <c r="U476" i="11"/>
  <c r="U475" i="11"/>
  <c r="U474" i="11"/>
  <c r="U473" i="11"/>
  <c r="U472" i="11"/>
  <c r="U471" i="11"/>
  <c r="U470" i="11"/>
  <c r="U469" i="11"/>
  <c r="U468" i="11"/>
  <c r="U467" i="11"/>
  <c r="U466" i="11"/>
  <c r="U465" i="11"/>
  <c r="U464" i="11"/>
  <c r="U463" i="11"/>
  <c r="U462" i="11"/>
  <c r="U461" i="11"/>
  <c r="U460" i="11"/>
  <c r="U459" i="11"/>
  <c r="U458" i="11"/>
  <c r="U457" i="11"/>
  <c r="U456" i="11"/>
  <c r="U455" i="11"/>
  <c r="U454" i="11"/>
  <c r="U453" i="11"/>
  <c r="U452" i="11"/>
  <c r="U451" i="11"/>
  <c r="U450" i="11"/>
  <c r="U449" i="11"/>
  <c r="U448" i="11"/>
  <c r="U447" i="11"/>
  <c r="U446" i="11"/>
  <c r="U445" i="11"/>
  <c r="U444" i="11"/>
  <c r="U443" i="11"/>
  <c r="U442" i="11"/>
  <c r="U441" i="11"/>
  <c r="U440" i="11"/>
  <c r="U439" i="11"/>
  <c r="U438" i="11"/>
  <c r="U437" i="11"/>
  <c r="U436" i="11"/>
  <c r="U435" i="11"/>
  <c r="U434" i="11"/>
  <c r="U433" i="11"/>
  <c r="U432" i="11"/>
  <c r="U431" i="11"/>
  <c r="U430" i="11"/>
  <c r="U429" i="11"/>
  <c r="U428" i="11"/>
  <c r="U427" i="11"/>
  <c r="U426" i="11"/>
  <c r="U425" i="11"/>
  <c r="U424" i="11"/>
  <c r="U423" i="11"/>
  <c r="U422" i="11"/>
  <c r="U421" i="11"/>
  <c r="U420" i="11"/>
  <c r="U419" i="11"/>
  <c r="U418" i="11"/>
  <c r="U417" i="11"/>
  <c r="U416" i="11"/>
  <c r="U415" i="11"/>
  <c r="U414" i="11"/>
  <c r="U413" i="11"/>
  <c r="U412" i="11"/>
  <c r="U411" i="11"/>
  <c r="U410" i="11"/>
  <c r="U409" i="11"/>
  <c r="U408" i="11"/>
  <c r="U407" i="11"/>
  <c r="U406" i="11"/>
  <c r="U405" i="11"/>
  <c r="U404" i="11"/>
  <c r="U403" i="11"/>
  <c r="U402" i="11"/>
  <c r="U401" i="11"/>
  <c r="U400" i="11"/>
  <c r="U399" i="11"/>
  <c r="U398" i="11"/>
  <c r="U397" i="11"/>
  <c r="U396" i="11"/>
  <c r="U395" i="11"/>
  <c r="U394" i="11"/>
  <c r="U393" i="11"/>
  <c r="U392" i="11"/>
  <c r="U391" i="11"/>
  <c r="U390" i="11"/>
  <c r="U389" i="11"/>
  <c r="U388" i="11"/>
  <c r="U387" i="11"/>
  <c r="U386" i="11"/>
  <c r="U385" i="11"/>
  <c r="U384" i="11"/>
  <c r="U383" i="11"/>
  <c r="U382" i="11"/>
  <c r="U381" i="11"/>
  <c r="U380" i="11"/>
  <c r="U379" i="11"/>
  <c r="U378" i="11"/>
  <c r="U377" i="11"/>
  <c r="U376" i="11"/>
  <c r="U375" i="11"/>
  <c r="U374" i="11"/>
  <c r="U373" i="11"/>
  <c r="U372" i="11"/>
  <c r="U371" i="11"/>
  <c r="U370" i="11"/>
  <c r="U369" i="11"/>
  <c r="U368" i="11"/>
  <c r="U367" i="11"/>
  <c r="U366" i="11"/>
  <c r="U365" i="11"/>
  <c r="U364" i="11"/>
  <c r="U363" i="11"/>
  <c r="U362" i="11"/>
  <c r="U361" i="11"/>
  <c r="U360" i="11"/>
  <c r="U359" i="11"/>
  <c r="U358" i="11"/>
  <c r="U357" i="11"/>
  <c r="U356" i="11"/>
  <c r="U355" i="11"/>
  <c r="U354" i="11"/>
  <c r="U353" i="11"/>
  <c r="U352" i="11"/>
  <c r="U351" i="11"/>
  <c r="U350" i="11"/>
  <c r="U349" i="11"/>
  <c r="U348" i="11"/>
  <c r="U347" i="11"/>
  <c r="U346" i="11"/>
  <c r="U345" i="11"/>
  <c r="U344" i="11"/>
  <c r="U343" i="11"/>
  <c r="U342" i="11"/>
  <c r="U341" i="11"/>
  <c r="U340" i="11"/>
  <c r="U339" i="11"/>
  <c r="U338" i="11"/>
  <c r="U337" i="11"/>
  <c r="U336" i="11"/>
  <c r="U335" i="11"/>
  <c r="U334" i="11"/>
  <c r="U333" i="11"/>
  <c r="U332" i="11"/>
  <c r="U331" i="11"/>
  <c r="U330" i="11"/>
  <c r="U329" i="11"/>
  <c r="U328" i="11"/>
  <c r="U327" i="11"/>
  <c r="U326" i="11"/>
  <c r="U325" i="11"/>
  <c r="U324" i="11"/>
  <c r="U323" i="11"/>
  <c r="U322" i="11"/>
  <c r="U321" i="11"/>
  <c r="U320" i="11"/>
  <c r="U319" i="11"/>
  <c r="U318" i="11"/>
  <c r="U317" i="11"/>
  <c r="U316" i="11"/>
  <c r="U315" i="11"/>
  <c r="U314" i="11"/>
  <c r="U313" i="11"/>
  <c r="U312" i="11"/>
  <c r="U311" i="11"/>
  <c r="U310" i="11"/>
  <c r="U309" i="11"/>
  <c r="U308" i="11"/>
  <c r="U307" i="11"/>
  <c r="U306" i="11"/>
  <c r="U305" i="11"/>
  <c r="U304" i="11"/>
  <c r="U303" i="11"/>
  <c r="U302" i="11"/>
  <c r="U301" i="11"/>
  <c r="U300" i="11"/>
  <c r="U299" i="11"/>
  <c r="U298" i="11"/>
  <c r="U297" i="11"/>
  <c r="U296" i="11"/>
  <c r="U295" i="11"/>
  <c r="U294" i="11"/>
  <c r="U293" i="11"/>
  <c r="U292" i="11"/>
  <c r="U291" i="11"/>
  <c r="U290" i="11"/>
  <c r="U289" i="11"/>
  <c r="U288" i="11"/>
  <c r="U287" i="11"/>
  <c r="U286" i="11"/>
  <c r="U285" i="11"/>
  <c r="U284" i="11"/>
  <c r="U283" i="11"/>
  <c r="U282" i="11"/>
  <c r="U281" i="11"/>
  <c r="U280" i="11"/>
  <c r="U279" i="11"/>
  <c r="U278" i="11"/>
  <c r="U277" i="11"/>
  <c r="U276" i="11"/>
  <c r="U275" i="11"/>
  <c r="U274" i="11"/>
  <c r="U273" i="11"/>
  <c r="U272" i="11"/>
  <c r="U271" i="11"/>
  <c r="U270" i="11"/>
  <c r="U269" i="11"/>
  <c r="U268" i="11"/>
  <c r="U267" i="11"/>
  <c r="U266" i="11"/>
  <c r="U265" i="11"/>
  <c r="U264" i="11"/>
  <c r="U263" i="11"/>
  <c r="U262" i="11"/>
  <c r="U261" i="11"/>
  <c r="U260" i="11"/>
  <c r="U259" i="11"/>
  <c r="U258" i="11"/>
  <c r="U257" i="11"/>
  <c r="U256" i="11"/>
  <c r="U255" i="11"/>
  <c r="U254" i="11"/>
  <c r="U253" i="11"/>
  <c r="U252" i="11"/>
  <c r="U251" i="11"/>
  <c r="U250" i="11"/>
  <c r="U249" i="11"/>
  <c r="U248" i="11"/>
  <c r="U247" i="11"/>
  <c r="U246" i="11"/>
  <c r="U245" i="11"/>
  <c r="U244" i="11"/>
  <c r="U243" i="11"/>
  <c r="U242" i="11"/>
  <c r="U241" i="11"/>
  <c r="U240" i="11"/>
  <c r="U239" i="11"/>
  <c r="U238" i="11"/>
  <c r="U237" i="11"/>
  <c r="U236" i="11"/>
  <c r="U235" i="11"/>
  <c r="U234" i="11"/>
  <c r="U233" i="11"/>
  <c r="U232" i="11"/>
  <c r="U231" i="11"/>
  <c r="U230" i="11"/>
  <c r="U229" i="11"/>
  <c r="U228" i="11"/>
  <c r="U227" i="11"/>
  <c r="U226" i="11"/>
  <c r="U225" i="11"/>
  <c r="U224" i="11"/>
  <c r="U223" i="11"/>
  <c r="U222" i="11"/>
  <c r="U221" i="11"/>
  <c r="U220" i="11"/>
  <c r="U219" i="11"/>
  <c r="U218" i="11"/>
  <c r="U217" i="11"/>
  <c r="U216" i="11"/>
  <c r="U215" i="11"/>
  <c r="U214" i="11"/>
  <c r="U213" i="11"/>
  <c r="U212" i="11"/>
  <c r="U211" i="11"/>
  <c r="U210" i="11"/>
  <c r="U209" i="11"/>
  <c r="U208" i="11"/>
  <c r="U207" i="11"/>
  <c r="U206" i="11"/>
  <c r="U205" i="11"/>
  <c r="U204" i="11"/>
  <c r="U203" i="11"/>
  <c r="U202" i="11"/>
  <c r="U201" i="11"/>
  <c r="U200" i="11"/>
  <c r="U199" i="11"/>
  <c r="U198" i="11"/>
  <c r="U197" i="11"/>
  <c r="U196" i="11"/>
  <c r="U195" i="11"/>
  <c r="U194" i="11"/>
  <c r="U193" i="11"/>
  <c r="U192" i="11"/>
  <c r="U191" i="11"/>
  <c r="U190" i="11"/>
  <c r="U189" i="11"/>
  <c r="U188" i="11"/>
  <c r="U187" i="11"/>
  <c r="U186" i="11"/>
  <c r="U185" i="11"/>
  <c r="U184" i="11"/>
  <c r="U183" i="11"/>
  <c r="U182" i="11"/>
  <c r="U181" i="11"/>
  <c r="U180" i="11"/>
  <c r="U179" i="11"/>
  <c r="U178" i="11"/>
  <c r="U177" i="11"/>
  <c r="U176" i="11"/>
  <c r="U175" i="11"/>
  <c r="U174" i="11"/>
  <c r="U173" i="11"/>
  <c r="U172" i="11"/>
  <c r="U171" i="11"/>
  <c r="U170" i="11"/>
  <c r="U169" i="11"/>
  <c r="U168" i="11"/>
  <c r="U167" i="11"/>
  <c r="U166" i="11"/>
  <c r="U165" i="11"/>
  <c r="U164" i="11"/>
  <c r="U163" i="11"/>
  <c r="U162" i="11"/>
  <c r="U161" i="11"/>
  <c r="U160" i="11"/>
  <c r="U159" i="11"/>
  <c r="U158" i="11"/>
  <c r="U157" i="11"/>
  <c r="U156" i="11"/>
  <c r="U155" i="11"/>
  <c r="U154" i="11"/>
  <c r="U153" i="11"/>
  <c r="U152" i="11"/>
  <c r="U151" i="11"/>
  <c r="U150" i="11"/>
  <c r="U149" i="11"/>
  <c r="U148" i="11"/>
  <c r="U147" i="11"/>
  <c r="U146" i="11"/>
  <c r="U145" i="11"/>
  <c r="U144" i="11"/>
  <c r="U143" i="11"/>
  <c r="U142" i="11"/>
  <c r="U141" i="11"/>
  <c r="U140" i="11"/>
  <c r="U139" i="11"/>
  <c r="U138" i="11"/>
  <c r="U137" i="11"/>
  <c r="U136" i="11"/>
  <c r="U135" i="11"/>
  <c r="U134" i="11"/>
  <c r="U133" i="11"/>
  <c r="U132" i="11"/>
  <c r="U131" i="11"/>
  <c r="U130" i="11"/>
  <c r="U129" i="11"/>
  <c r="U128" i="11"/>
  <c r="U127" i="11"/>
  <c r="U126" i="11"/>
  <c r="U125" i="11"/>
  <c r="U124" i="11"/>
  <c r="U123" i="11"/>
  <c r="U122" i="11"/>
  <c r="U121" i="11"/>
  <c r="U120" i="11"/>
  <c r="U119" i="11"/>
  <c r="U118" i="11"/>
  <c r="U117" i="11"/>
  <c r="U116" i="11"/>
  <c r="U115" i="11"/>
  <c r="U114" i="11"/>
  <c r="U113" i="11"/>
  <c r="U112" i="11"/>
  <c r="U111" i="11"/>
  <c r="U110" i="11"/>
  <c r="U109" i="11"/>
  <c r="U108" i="11"/>
  <c r="U107" i="11"/>
  <c r="U106" i="11"/>
  <c r="U105" i="11"/>
  <c r="U104" i="11"/>
  <c r="U103" i="11"/>
  <c r="U102" i="11"/>
  <c r="U101" i="11"/>
  <c r="U100" i="11"/>
  <c r="U99" i="11"/>
  <c r="U98" i="11"/>
  <c r="U97" i="11"/>
  <c r="U96" i="11"/>
  <c r="U95" i="11"/>
  <c r="U94" i="11"/>
  <c r="U93" i="11"/>
  <c r="U92" i="11"/>
  <c r="U91" i="11"/>
  <c r="U90" i="11"/>
  <c r="U89" i="11"/>
  <c r="U88" i="11"/>
  <c r="U87" i="11"/>
  <c r="U86" i="11"/>
  <c r="U85" i="11"/>
  <c r="U84" i="11"/>
  <c r="U83" i="11"/>
  <c r="U82" i="11"/>
  <c r="U81" i="11"/>
  <c r="U80" i="11"/>
  <c r="U79" i="11"/>
  <c r="U78" i="11"/>
  <c r="U77" i="11"/>
  <c r="U76" i="11"/>
  <c r="U75" i="11"/>
  <c r="U74" i="11"/>
  <c r="U73" i="11"/>
  <c r="U72" i="11"/>
  <c r="U71" i="11"/>
  <c r="U70" i="11"/>
  <c r="U69" i="11"/>
  <c r="U68" i="11"/>
  <c r="U67" i="11"/>
  <c r="U66" i="11"/>
  <c r="U65" i="11"/>
  <c r="U64" i="11"/>
  <c r="U63" i="11"/>
  <c r="U62" i="11"/>
  <c r="U61" i="11"/>
  <c r="U60" i="11"/>
  <c r="U59" i="11"/>
  <c r="U58" i="11"/>
  <c r="U57" i="11"/>
  <c r="U56" i="11"/>
  <c r="U55" i="11"/>
  <c r="U54" i="11"/>
  <c r="U53" i="11"/>
  <c r="U52" i="11"/>
  <c r="U51" i="11"/>
  <c r="U50" i="11"/>
  <c r="U49" i="11"/>
  <c r="U48" i="11"/>
  <c r="U47" i="11"/>
  <c r="U46" i="11"/>
  <c r="U45" i="11"/>
  <c r="U44" i="11"/>
  <c r="U43" i="11"/>
  <c r="U42" i="11"/>
  <c r="U41" i="11"/>
  <c r="U40" i="11"/>
  <c r="U39" i="11"/>
  <c r="U38" i="11"/>
  <c r="U37" i="11"/>
  <c r="U36" i="11"/>
  <c r="U35" i="11"/>
  <c r="U34" i="11"/>
  <c r="U33" i="11"/>
  <c r="U32" i="11"/>
  <c r="U31" i="11"/>
  <c r="U30" i="11"/>
  <c r="U29" i="11"/>
  <c r="U28" i="11"/>
  <c r="U27" i="11"/>
  <c r="U26" i="11"/>
  <c r="U25" i="11"/>
  <c r="U24" i="11"/>
  <c r="U23" i="11"/>
  <c r="U22" i="11"/>
  <c r="U21" i="11"/>
  <c r="U20" i="11"/>
  <c r="U19" i="11"/>
  <c r="U18" i="11"/>
  <c r="U17" i="11"/>
  <c r="U16" i="11"/>
  <c r="U15" i="11"/>
  <c r="U14" i="11"/>
  <c r="U13" i="11"/>
  <c r="U12" i="11"/>
  <c r="U11" i="11"/>
  <c r="U10" i="11"/>
  <c r="U9" i="11"/>
  <c r="U8" i="11"/>
  <c r="U7" i="11"/>
  <c r="U6" i="11"/>
  <c r="U5" i="11"/>
  <c r="E46" i="9"/>
  <c r="E45" i="9"/>
  <c r="L7" i="8"/>
  <c r="H7" i="8"/>
  <c r="D7" i="8"/>
  <c r="N5" i="8"/>
  <c r="L5" i="8"/>
  <c r="J5" i="8"/>
  <c r="H5" i="8"/>
  <c r="F5" i="8"/>
  <c r="D5" i="8"/>
  <c r="K64" i="7"/>
  <c r="J64" i="7"/>
  <c r="L64" i="7" s="1"/>
  <c r="K63" i="7"/>
  <c r="J63" i="7"/>
  <c r="L63" i="7" s="1"/>
  <c r="K62" i="7"/>
  <c r="J62" i="7"/>
  <c r="L62" i="7" s="1"/>
  <c r="K61" i="7"/>
  <c r="J61" i="7"/>
  <c r="L61" i="7" s="1"/>
  <c r="K60" i="7"/>
  <c r="J60" i="7"/>
  <c r="L60" i="7" s="1"/>
  <c r="K59" i="7"/>
  <c r="J59" i="7"/>
  <c r="L59" i="7" s="1"/>
  <c r="K58" i="7"/>
  <c r="J58" i="7"/>
  <c r="L58" i="7" s="1"/>
  <c r="K57" i="7"/>
  <c r="J57" i="7"/>
  <c r="L57" i="7" s="1"/>
  <c r="K56" i="7"/>
  <c r="J56" i="7"/>
  <c r="L56" i="7" s="1"/>
  <c r="K55" i="7"/>
  <c r="J55" i="7"/>
  <c r="L55" i="7" s="1"/>
  <c r="K54" i="7"/>
  <c r="J54" i="7"/>
  <c r="L54" i="7" s="1"/>
  <c r="K53" i="7"/>
  <c r="J53" i="7"/>
  <c r="L53" i="7" s="1"/>
  <c r="K52" i="7"/>
  <c r="J52" i="7"/>
  <c r="L52" i="7" s="1"/>
  <c r="L7" i="7"/>
  <c r="N5" i="7"/>
  <c r="L5" i="7"/>
  <c r="J5" i="7"/>
  <c r="H5" i="7"/>
  <c r="F5" i="7"/>
  <c r="D5" i="7"/>
  <c r="L7" i="6"/>
  <c r="N5" i="6"/>
  <c r="L5" i="6"/>
  <c r="J5" i="6"/>
  <c r="H5" i="6"/>
  <c r="F5" i="6"/>
  <c r="D5" i="6"/>
  <c r="D7" i="5"/>
  <c r="L5" i="5"/>
  <c r="J5" i="5"/>
  <c r="H5" i="5"/>
  <c r="F5" i="5"/>
  <c r="D5" i="5"/>
  <c r="M56" i="4"/>
  <c r="L56" i="4"/>
  <c r="M55" i="4"/>
  <c r="L55" i="4"/>
  <c r="M54" i="4"/>
  <c r="L54" i="4"/>
  <c r="M53" i="4"/>
  <c r="L53" i="4"/>
  <c r="M52" i="4"/>
  <c r="L52" i="4"/>
  <c r="I7" i="4"/>
  <c r="G7" i="4"/>
  <c r="D7" i="4"/>
  <c r="M5" i="4"/>
  <c r="K5" i="4"/>
  <c r="I5" i="4"/>
  <c r="G5" i="4"/>
  <c r="E5" i="4"/>
  <c r="D5" i="4"/>
  <c r="J7" i="3"/>
  <c r="H7" i="3"/>
  <c r="D7" i="3"/>
  <c r="N5" i="3"/>
  <c r="L5" i="3"/>
  <c r="J5" i="3"/>
  <c r="H5" i="3"/>
  <c r="F5" i="3"/>
  <c r="D5" i="3"/>
  <c r="L5" i="2"/>
  <c r="H5" i="2"/>
  <c r="F5" i="2"/>
  <c r="D5" i="2"/>
  <c r="L7" i="1"/>
  <c r="N5" i="1"/>
  <c r="L5" i="1"/>
  <c r="J5" i="1"/>
  <c r="H5" i="1"/>
  <c r="F5" i="1"/>
  <c r="D5" i="1"/>
  <c r="M62" i="7" l="1"/>
  <c r="M52" i="7"/>
  <c r="M63" i="7"/>
  <c r="M60" i="7"/>
  <c r="M57" i="7"/>
  <c r="M58" i="7"/>
  <c r="M53" i="7"/>
  <c r="M56" i="7"/>
  <c r="M61" i="7"/>
  <c r="M59" i="7"/>
  <c r="M64" i="7"/>
  <c r="M54" i="7"/>
  <c r="N5" i="2"/>
  <c r="M57" i="4"/>
  <c r="N57" i="4" s="1"/>
  <c r="M55" i="7"/>
  <c r="J5" i="2"/>
  <c r="N53" i="4" l="1"/>
  <c r="N52" i="4"/>
  <c r="N55" i="4"/>
  <c r="N54" i="4"/>
  <c r="N56" i="4"/>
</calcChain>
</file>

<file path=xl/sharedStrings.xml><?xml version="1.0" encoding="utf-8"?>
<sst xmlns="http://schemas.openxmlformats.org/spreadsheetml/2006/main" count="10165" uniqueCount="1750">
  <si>
    <t>PROJECT NAVIGATION</t>
  </si>
  <si>
    <t>ONLINE RETAIL  |  SALES &amp; CUSTOMER ANALYSIS</t>
  </si>
  <si>
    <t>1 · Dashboard</t>
  </si>
  <si>
    <t>2 · Sales Analysis</t>
  </si>
  <si>
    <t>GROSS SALES</t>
  </si>
  <si>
    <t>AVG ORDER VALUE</t>
  </si>
  <si>
    <t>UNITS SOLD</t>
  </si>
  <si>
    <t>REPEAT CUSTOMER RATE</t>
  </si>
  <si>
    <t>REVERSAL VALUE</t>
  </si>
  <si>
    <t>UNIQUE PRODUCTS</t>
  </si>
  <si>
    <t>3 · Monthly Analysis</t>
  </si>
  <si>
    <t>4 · Country Analysis</t>
  </si>
  <si>
    <t>5 · Product Analysis</t>
  </si>
  <si>
    <t>Eligible positive sales</t>
  </si>
  <si>
    <t>Gross sales ÷ orders</t>
  </si>
  <si>
    <t>Customers with 2+ orders</t>
  </si>
  <si>
    <t>Distinct stock codes sold</t>
  </si>
  <si>
    <t>6 · Customer Analysis</t>
  </si>
  <si>
    <t>7 · Returns &amp; Cancellations</t>
  </si>
  <si>
    <t>8 · Time Analysis</t>
  </si>
  <si>
    <t>9 · Data Quality</t>
  </si>
  <si>
    <t>10 · Data Dictionary</t>
  </si>
  <si>
    <t>11 · Transaction Data</t>
  </si>
  <si>
    <t>NET SALES</t>
  </si>
  <si>
    <t>TOTAL ORDERS</t>
  </si>
  <si>
    <t>Gross sales less estimated reversals</t>
  </si>
  <si>
    <t>Positive-quantity units</t>
  </si>
  <si>
    <t>SALES ANALYSIS | REVENUE &amp; ORDER PERFORMANCE</t>
  </si>
  <si>
    <t>Country options</t>
  </si>
  <si>
    <t>All Countries</t>
  </si>
  <si>
    <t>Australia</t>
  </si>
  <si>
    <t>Austria</t>
  </si>
  <si>
    <t>ORDERS</t>
  </si>
  <si>
    <t>Bahrain</t>
  </si>
  <si>
    <t>Belgium</t>
  </si>
  <si>
    <t>Brazil</t>
  </si>
  <si>
    <t>Distinct invoices; country-aware</t>
  </si>
  <si>
    <t>Estimated cancellation/return value</t>
  </si>
  <si>
    <t>Canada</t>
  </si>
  <si>
    <t>Channel Islands</t>
  </si>
  <si>
    <t>KEY SALES INSIGHTS</t>
  </si>
  <si>
    <t>Cyprus</t>
  </si>
  <si>
    <t>Czech Republic</t>
  </si>
  <si>
    <t>Denmark</t>
  </si>
  <si>
    <t>EIRE</t>
  </si>
  <si>
    <t>European Community</t>
  </si>
  <si>
    <t>Finland</t>
  </si>
  <si>
    <t>VISUAL ANALYSIS</t>
  </si>
  <si>
    <t>France</t>
  </si>
  <si>
    <t>Germany</t>
  </si>
  <si>
    <t>Greece</t>
  </si>
  <si>
    <t>Hong Kong</t>
  </si>
  <si>
    <t>Iceland</t>
  </si>
  <si>
    <t>Israel</t>
  </si>
  <si>
    <t>Italy</t>
  </si>
  <si>
    <t>Japan</t>
  </si>
  <si>
    <t>Lebanon</t>
  </si>
  <si>
    <t>Lithuania</t>
  </si>
  <si>
    <t>Malta</t>
  </si>
  <si>
    <t>Netherlands</t>
  </si>
  <si>
    <t>Norway</t>
  </si>
  <si>
    <t>Poland</t>
  </si>
  <si>
    <t>Portugal</t>
  </si>
  <si>
    <t>RSA</t>
  </si>
  <si>
    <t>Saudi Arabia</t>
  </si>
  <si>
    <t>Singapore</t>
  </si>
  <si>
    <t>Spain</t>
  </si>
  <si>
    <t>Sweden</t>
  </si>
  <si>
    <t>Switzerland</t>
  </si>
  <si>
    <t>USA</t>
  </si>
  <si>
    <t>United Arab Emirates</t>
  </si>
  <si>
    <t>United Kingdom</t>
  </si>
  <si>
    <t>Unspecified</t>
  </si>
  <si>
    <t>MONTHLY SALES DATA TABLE</t>
  </si>
  <si>
    <t>Month</t>
  </si>
  <si>
    <t>Gross Sales</t>
  </si>
  <si>
    <t>Orders</t>
  </si>
  <si>
    <t>Units Sold</t>
  </si>
  <si>
    <t>Average Order Value</t>
  </si>
  <si>
    <t>MoM Change</t>
  </si>
  <si>
    <t>Selected Sales</t>
  </si>
  <si>
    <t>Country</t>
  </si>
  <si>
    <t>Units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</si>
  <si>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</si>
  <si>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</si>
  <si>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</si>
  <si>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</si>
  <si>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</si>
  <si>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</si>
  <si>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</si>
  <si>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</si>
  <si>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</si>
  <si>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</si>
  <si>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</si>
  <si>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</si>
  <si>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</si>
  <si>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TOP COUNTRIES &amp; PRODUCTS</t>
  </si>
  <si>
    <t>Top Country</t>
  </si>
  <si>
    <t>Top Product</t>
  </si>
  <si>
    <t>DOTCOM POSTAGE</t>
  </si>
  <si>
    <t>REGENCY CAKESTAND 3 TIER</t>
  </si>
  <si>
    <t>PAPER CRAFT , LITTLE BIRDIE</t>
  </si>
  <si>
    <t>WHITE HANGING HEART T-LIGHT HOLDER</t>
  </si>
  <si>
    <t>PARTY BUNTING</t>
  </si>
  <si>
    <t>JUMBO BAG RED RETROSPOT</t>
  </si>
  <si>
    <t>MEDIUM CERAMIC TOP STORAGE JAR</t>
  </si>
  <si>
    <t>Manual</t>
  </si>
  <si>
    <t>POSTAGE</t>
  </si>
  <si>
    <t>RABBIT NIGHT LIGHT</t>
  </si>
  <si>
    <t>MONTHLY PERFORMANCE</t>
  </si>
  <si>
    <t>TOTAL GROSS SALES</t>
  </si>
  <si>
    <t>AVG MONTHLY SALES</t>
  </si>
  <si>
    <t>PEAK MONTH</t>
  </si>
  <si>
    <t>LOWEST MONTH</t>
  </si>
  <si>
    <t>Includes partial Dec 2011</t>
  </si>
  <si>
    <t>Distinct invoices</t>
  </si>
  <si>
    <t>KEY BUSINESS INSIGHTS</t>
  </si>
  <si>
    <t>Peak month is 2011-11 ($1.51M); the weakest month is 2011-02 ($0.52M) — a 2.9x swing across the year.</t>
  </si>
  <si>
    <t>Sales build through autumn: Sep, Oct and Nov 2011 grew +39%, +9% and +31% month-on-month ahead of the Christmas peak.</t>
  </si>
  <si>
    <t>2011-12 is a partial month (data ends 09 Dec 2011), so its -58% MoM drop is not a true decline.</t>
  </si>
  <si>
    <t>Every 2011 quarter beat the one before it: 2011Q4 reached $3.30M, 1.7x 2011Q1, even with December incomplete.</t>
  </si>
  <si>
    <t>MONTHLY DATA TABLE</t>
  </si>
  <si>
    <t>Customers</t>
  </si>
  <si>
    <t>MoM Sales Change</t>
  </si>
  <si>
    <t>QUARTERLY SUMMARY</t>
  </si>
  <si>
    <t>Quarter</t>
  </si>
  <si>
    <t>2010Q4</t>
  </si>
  <si>
    <t>2011Q1</t>
  </si>
  <si>
    <t>2011Q2</t>
  </si>
  <si>
    <t>2011Q3</t>
  </si>
  <si>
    <t>2011Q4</t>
  </si>
  <si>
    <t>COUNTRY PERFORMANCE</t>
  </si>
  <si>
    <t>COUNTRIES SERVED</t>
  </si>
  <si>
    <t>TOP COUNTRY</t>
  </si>
  <si>
    <t>SALES OUTSIDE TOP COUNTRY</t>
  </si>
  <si>
    <t>TOP 5 COUNTRIES SHARE</t>
  </si>
  <si>
    <t>With eligible sales</t>
  </si>
  <si>
    <t>Share of gross sales</t>
  </si>
  <si>
    <t>United Kingdom generates 84.6% of gross sales ($9.03M) from 3,920 customers — the business is heavily UK-centred.</t>
  </si>
  <si>
    <t>The next largest markets are Netherlands ($285K), EIRE ($283K) and Germany ($229K).</t>
  </si>
  <si>
    <t>EIRE and the Netherlands sell $283K+ to just 3 and 9 customers — a few large wholesale accounts, not broad demand.</t>
  </si>
  <si>
    <t>Among markets with 50+ orders, Netherlands has the highest order value ($3,037) vs $501 in the UK.</t>
  </si>
  <si>
    <t>COUNTRY DATA TABLE</t>
  </si>
  <si>
    <t>Sales Share</t>
  </si>
  <si>
    <t>Segment</t>
  </si>
  <si>
    <t>Share</t>
  </si>
  <si>
    <t>All other countries</t>
  </si>
  <si>
    <t>Top 5 + Others feeds the share chart (formulas).</t>
  </si>
  <si>
    <t>Country performance is ranked by gross sales. The full country list is included up to 100 rows; the dataset typically contains far fewer.</t>
  </si>
  <si>
    <t>PRODUCT PERFORMANCE</t>
  </si>
  <si>
    <t>TOP PRODUCT BY GROSS SALES</t>
  </si>
  <si>
    <t>TOP 10 SHARE OF SALES</t>
  </si>
  <si>
    <t>TOP 200 SHARE OF SALES</t>
  </si>
  <si>
    <t>UNITS SOLD (TOP 200)</t>
  </si>
  <si>
    <t>AVG SALES PER PRODUCT</t>
  </si>
  <si>
    <t>Share of total gross sales</t>
  </si>
  <si>
    <t>Units across listed products</t>
  </si>
  <si>
    <t>Across top 200 products</t>
  </si>
  <si>
    <t>DOTCOM POSTAGE ranks #1 at $206K from 706 orders and 1 customer — it is a postage/service line, not merchandise.</t>
  </si>
  <si>
    <t>PAPER CRAFT , LITTLE BIRDIE ($168K) comes from 1 order and 1 customer (80,995 units) — a one-off bulk order that inflates product rankings.</t>
  </si>
  <si>
    <t>The best genuine sellers are REGENCY CAKESTAND 3 TIER ($174K) and WHITE HANGING HEART T-LIGHT HOLDER ($104K), each bought by hundreds of customers.</t>
  </si>
  <si>
    <t>The top 10 products contribute 10.8% of gross sales — revenue is spread widely across the catalogue.</t>
  </si>
  <si>
    <t>PRODUCT DATA TABLE (TOP 200)</t>
  </si>
  <si>
    <t>Stock Code</t>
  </si>
  <si>
    <t>Description</t>
  </si>
  <si>
    <t>DOT</t>
  </si>
  <si>
    <t>22423</t>
  </si>
  <si>
    <t>23843</t>
  </si>
  <si>
    <t>85123A</t>
  </si>
  <si>
    <t>47566</t>
  </si>
  <si>
    <t>85099B</t>
  </si>
  <si>
    <t>23166</t>
  </si>
  <si>
    <t>M</t>
  </si>
  <si>
    <t>POST</t>
  </si>
  <si>
    <t>23084</t>
  </si>
  <si>
    <t>22086</t>
  </si>
  <si>
    <t>PAPER CHAIN KIT 50'S CHRISTMAS</t>
  </si>
  <si>
    <t>84879</t>
  </si>
  <si>
    <t>ASSORTED COLOUR BIRD ORNAMENT</t>
  </si>
  <si>
    <t>79321</t>
  </si>
  <si>
    <t>CHILLI LIGHTS</t>
  </si>
  <si>
    <t>23298</t>
  </si>
  <si>
    <t>SPOTTY BUNTING</t>
  </si>
  <si>
    <t>22386</t>
  </si>
  <si>
    <t>JUMBO BAG PINK POLKADOT</t>
  </si>
  <si>
    <t>21137</t>
  </si>
  <si>
    <t>BLACK RECORD COVER FRAME</t>
  </si>
  <si>
    <t>22502</t>
  </si>
  <si>
    <t>PICNIC BASKET WICKER 60 PIECES</t>
  </si>
  <si>
    <t>23284</t>
  </si>
  <si>
    <t>DOORMAT KEEP CALM AND COME IN</t>
  </si>
  <si>
    <t>22720</t>
  </si>
  <si>
    <t>SET OF 3 CAKE TINS PANTRY DESIGN</t>
  </si>
  <si>
    <t>22960</t>
  </si>
  <si>
    <t>JAM MAKING SET WITH JARS</t>
  </si>
  <si>
    <t>82484</t>
  </si>
  <si>
    <t>WOOD BLACK BOARD ANT WHITE FINISH</t>
  </si>
  <si>
    <t>20725</t>
  </si>
  <si>
    <t>LUNCH BAG RED RETROSPOT</t>
  </si>
  <si>
    <t>22197</t>
  </si>
  <si>
    <t>POPCORN HOLDER</t>
  </si>
  <si>
    <t>22178</t>
  </si>
  <si>
    <t>VICTORIAN GLASS HANGING T-LIGHT</t>
  </si>
  <si>
    <t>22114</t>
  </si>
  <si>
    <t>HOT WATER BOTTLE TEA AND SYMPATHY</t>
  </si>
  <si>
    <t>22910</t>
  </si>
  <si>
    <t>PAPER CHAIN KIT VINTAGE CHRISTMAS</t>
  </si>
  <si>
    <t>22112</t>
  </si>
  <si>
    <t>CHOCOLATE HOT WATER BOTTLE</t>
  </si>
  <si>
    <t>85099F</t>
  </si>
  <si>
    <t>JUMBO BAG STRAWBERRY</t>
  </si>
  <si>
    <t>22469</t>
  </si>
  <si>
    <t>HEART OF WICKER SMALL</t>
  </si>
  <si>
    <t>23245</t>
  </si>
  <si>
    <t>SET OF 3 REGENCY CAKE TINS</t>
  </si>
  <si>
    <t>21931</t>
  </si>
  <si>
    <t>JUMBO STORAGE BAG SUKI</t>
  </si>
  <si>
    <t>22727</t>
  </si>
  <si>
    <t>ALARM CLOCK BAKELIKE RED</t>
  </si>
  <si>
    <t>23199</t>
  </si>
  <si>
    <t>JUMBO BAG APPLES</t>
  </si>
  <si>
    <t>22470</t>
  </si>
  <si>
    <t>HEART OF WICKER LARGE</t>
  </si>
  <si>
    <t>22355</t>
  </si>
  <si>
    <t>CHARLOTTE BAG SUKI DESIGN</t>
  </si>
  <si>
    <t>22699</t>
  </si>
  <si>
    <t>ROSES REGENCY TEACUP AND SAUCER</t>
  </si>
  <si>
    <t>23355</t>
  </si>
  <si>
    <t>HOT WATER BOTTLE KEEP CALM</t>
  </si>
  <si>
    <t>22411</t>
  </si>
  <si>
    <t>JUMBO SHOPPER VINTAGE RED PAISLEY</t>
  </si>
  <si>
    <t>22457</t>
  </si>
  <si>
    <t>NATURAL SLATE HEART CHALKBOARD</t>
  </si>
  <si>
    <t>85099C</t>
  </si>
  <si>
    <t>JUMBO  BAG BAROQUE BLACK WHITE</t>
  </si>
  <si>
    <t>20685</t>
  </si>
  <si>
    <t>DOORMAT RED RETROSPOT</t>
  </si>
  <si>
    <t>23201</t>
  </si>
  <si>
    <t>JUMBO BAG ALPHABET</t>
  </si>
  <si>
    <t>22726</t>
  </si>
  <si>
    <t>ALARM CLOCK BAKELIKE GREEN</t>
  </si>
  <si>
    <t>84347</t>
  </si>
  <si>
    <t>ROTATING SILVER ANGELS T-LIGHT HLDR</t>
  </si>
  <si>
    <t>21915</t>
  </si>
  <si>
    <t>RED  HARMONICA IN BOX</t>
  </si>
  <si>
    <t>22666</t>
  </si>
  <si>
    <t>RECIPE BOX PANTRY YELLOW DESIGN</t>
  </si>
  <si>
    <t>21175</t>
  </si>
  <si>
    <t>GIN + TONIC DIET METAL SIGN</t>
  </si>
  <si>
    <t>22629</t>
  </si>
  <si>
    <t>SPACEBOY LUNCH BOX</t>
  </si>
  <si>
    <t>22961</t>
  </si>
  <si>
    <t>JAM MAKING SET PRINTED</t>
  </si>
  <si>
    <t>48138</t>
  </si>
  <si>
    <t>DOORMAT UNION FLAG</t>
  </si>
  <si>
    <t>21181</t>
  </si>
  <si>
    <t>PLEASE ONE PERSON METAL SIGN</t>
  </si>
  <si>
    <t>23173</t>
  </si>
  <si>
    <t>REGENCY TEAPOT ROSES</t>
  </si>
  <si>
    <t>21621</t>
  </si>
  <si>
    <t>VINTAGE UNION JACK BUNTING</t>
  </si>
  <si>
    <t>23203</t>
  </si>
  <si>
    <t>JUMBO BAG VINTAGE DOILY</t>
  </si>
  <si>
    <t>22111</t>
  </si>
  <si>
    <t>SCOTTIE DOG HOT WATER BOTTLE</t>
  </si>
  <si>
    <t>22722</t>
  </si>
  <si>
    <t>SET OF 6 SPICE TINS PANTRY DESIGN</t>
  </si>
  <si>
    <t>22326</t>
  </si>
  <si>
    <t>ROUND SNACK BOXES SET OF4 WOODLAND</t>
  </si>
  <si>
    <t>48187</t>
  </si>
  <si>
    <t>DOORMAT NEW ENGLAND</t>
  </si>
  <si>
    <t>22138</t>
  </si>
  <si>
    <t>BAKING SET 9 PIECE RETROSPOT</t>
  </si>
  <si>
    <t>21731</t>
  </si>
  <si>
    <t>RED TOADSTOOL LED NIGHT LIGHT</t>
  </si>
  <si>
    <t>48185</t>
  </si>
  <si>
    <t>DOORMAT FAIRY CAKE</t>
  </si>
  <si>
    <t>23344</t>
  </si>
  <si>
    <t>JUMBO BAG 50'S CHRISTMAS</t>
  </si>
  <si>
    <t>23243</t>
  </si>
  <si>
    <t>SET OF TEA COFFEE SUGAR TINS PANTRY</t>
  </si>
  <si>
    <t>22189</t>
  </si>
  <si>
    <t>CREAM HEART CARD HOLDER</t>
  </si>
  <si>
    <t>21733</t>
  </si>
  <si>
    <t>RED HANGING HEART T-LIGHT HOLDER</t>
  </si>
  <si>
    <t>21929</t>
  </si>
  <si>
    <t>JUMBO BAG PINK VINTAGE PAISLEY</t>
  </si>
  <si>
    <t>82482</t>
  </si>
  <si>
    <t>WOODEN PICTURE FRAME WHITE FINISH</t>
  </si>
  <si>
    <t>20713</t>
  </si>
  <si>
    <t>JUMBO BAG OWLS</t>
  </si>
  <si>
    <t>21623</t>
  </si>
  <si>
    <t>VINTAGE UNION JACK MEMOBOARD</t>
  </si>
  <si>
    <t>22139</t>
  </si>
  <si>
    <t>RETROSPOT TEA SET CERAMIC 11 PC</t>
  </si>
  <si>
    <t>22697</t>
  </si>
  <si>
    <t>GREEN REGENCY TEACUP AND SAUCER</t>
  </si>
  <si>
    <t>22090</t>
  </si>
  <si>
    <t>PAPER BUNTING RETROSPOT</t>
  </si>
  <si>
    <t>85066</t>
  </si>
  <si>
    <t>CREAM SWEETHEART MINI CHEST</t>
  </si>
  <si>
    <t>20727</t>
  </si>
  <si>
    <t>LUNCH BAG  BLACK SKULL.</t>
  </si>
  <si>
    <t>15056N</t>
  </si>
  <si>
    <t>EDWARDIAN PARASOL NATURAL</t>
  </si>
  <si>
    <t>84029E</t>
  </si>
  <si>
    <t>RED WOOLLY HOTTIE WHITE HEART.</t>
  </si>
  <si>
    <t>48194</t>
  </si>
  <si>
    <t>DOORMAT HEARTS</t>
  </si>
  <si>
    <t>20712</t>
  </si>
  <si>
    <t>JUMBO BAG WOODLAND ANIMALS</t>
  </si>
  <si>
    <t>23202</t>
  </si>
  <si>
    <t>JUMBO BAG VINTAGE LEAF</t>
  </si>
  <si>
    <t>20724</t>
  </si>
  <si>
    <t>RED RETROSPOT CHARLOTTE BAG</t>
  </si>
  <si>
    <t>20728</t>
  </si>
  <si>
    <t>LUNCH BAG CARS BLUE</t>
  </si>
  <si>
    <t>22630</t>
  </si>
  <si>
    <t>DOLLY GIRL LUNCH BOX</t>
  </si>
  <si>
    <t>21523</t>
  </si>
  <si>
    <t>DOORMAT FANCY FONT HOME SWEET HOME</t>
  </si>
  <si>
    <t>21843</t>
  </si>
  <si>
    <t>RED RETROSPOT CAKE STAND</t>
  </si>
  <si>
    <t>21212</t>
  </si>
  <si>
    <t>PACK OF 72 RETROSPOT CAKE CASES</t>
  </si>
  <si>
    <t>21166</t>
  </si>
  <si>
    <t>COOK WITH WINE METAL SIGN</t>
  </si>
  <si>
    <t>23206</t>
  </si>
  <si>
    <t>LUNCH BAG APPLE DESIGN</t>
  </si>
  <si>
    <t>22659</t>
  </si>
  <si>
    <t>LUNCH BOX I LOVE LONDON</t>
  </si>
  <si>
    <t>22728</t>
  </si>
  <si>
    <t>ALARM CLOCK BAKELIKE PINK</t>
  </si>
  <si>
    <t>21479</t>
  </si>
  <si>
    <t>WHITE SKULL HOT WATER BOTTLE</t>
  </si>
  <si>
    <t>82494L</t>
  </si>
  <si>
    <t>WOODEN FRAME ANTIQUE WHITE</t>
  </si>
  <si>
    <t>84946</t>
  </si>
  <si>
    <t>ANTIQUE SILVER T-LIGHT GLASS</t>
  </si>
  <si>
    <t>22501</t>
  </si>
  <si>
    <t>PICNIC BASKET WICKER LARGE</t>
  </si>
  <si>
    <t>22328</t>
  </si>
  <si>
    <t>ROUND SNACK BOXES SET OF 4 FRUITS</t>
  </si>
  <si>
    <t>22467</t>
  </si>
  <si>
    <t>GUMBALL COAT RACK</t>
  </si>
  <si>
    <t>22969</t>
  </si>
  <si>
    <t>HOMEMADE JAM SCENTED CANDLES</t>
  </si>
  <si>
    <t>22383</t>
  </si>
  <si>
    <t>LUNCH BAG SUKI DESIGN</t>
  </si>
  <si>
    <t>15036</t>
  </si>
  <si>
    <t>ASSORTED COLOURS SILK FAN</t>
  </si>
  <si>
    <t>20726</t>
  </si>
  <si>
    <t>LUNCH BAG WOODLAND</t>
  </si>
  <si>
    <t>22382</t>
  </si>
  <si>
    <t>LUNCH BAG SPACEBOY DESIGN</t>
  </si>
  <si>
    <t>21108</t>
  </si>
  <si>
    <t>FAIRY CAKE FLANNEL ASSORTED COLOUR</t>
  </si>
  <si>
    <t>22835</t>
  </si>
  <si>
    <t>HOT WATER BOTTLE I AM SO POORLY</t>
  </si>
  <si>
    <t>22693</t>
  </si>
  <si>
    <t>GROW A FLYTRAP OR SUNFLOWER IN TIN</t>
  </si>
  <si>
    <t>22865</t>
  </si>
  <si>
    <t>HAND WARMER OWL DESIGN</t>
  </si>
  <si>
    <t>21485</t>
  </si>
  <si>
    <t>RETROSPOT HEART HOT WATER BOTTLE</t>
  </si>
  <si>
    <t>20914</t>
  </si>
  <si>
    <t>SET/5 RED RETROSPOT LID GLASS BOWLS</t>
  </si>
  <si>
    <t>22698</t>
  </si>
  <si>
    <t>PINK REGENCY TEACUP AND SAUCER</t>
  </si>
  <si>
    <t>22384</t>
  </si>
  <si>
    <t>LUNCH BAG PINK POLKADOT</t>
  </si>
  <si>
    <t>JUMBO BAG DOILEY PATTERNS</t>
  </si>
  <si>
    <t>21928</t>
  </si>
  <si>
    <t>JUMBO BAG SCANDINAVIAN BLUE PAISLEY</t>
  </si>
  <si>
    <t>22077</t>
  </si>
  <si>
    <t>6 RIBBONS RUSTIC CHARM</t>
  </si>
  <si>
    <t>22385</t>
  </si>
  <si>
    <t>JUMBO BAG SPACEBOY DESIGN</t>
  </si>
  <si>
    <t>71477</t>
  </si>
  <si>
    <t>COLOUR GLASS. STAR T-LIGHT HOLDER</t>
  </si>
  <si>
    <t>SMALL POPCORN HOLDER</t>
  </si>
  <si>
    <t>21754</t>
  </si>
  <si>
    <t>HOME BUILDING BLOCK WORD</t>
  </si>
  <si>
    <t>82583</t>
  </si>
  <si>
    <t>HOT BATHS METAL SIGN</t>
  </si>
  <si>
    <t>22492</t>
  </si>
  <si>
    <t>MINI PAINT SET VINTAGE</t>
  </si>
  <si>
    <t>20719</t>
  </si>
  <si>
    <t>WOODLAND CHARLOTTE BAG</t>
  </si>
  <si>
    <t>22624</t>
  </si>
  <si>
    <t>IVORY KITCHEN SCALES</t>
  </si>
  <si>
    <t>22993</t>
  </si>
  <si>
    <t>SET OF 4 PANTRY JELLY MOULDS</t>
  </si>
  <si>
    <t>84978</t>
  </si>
  <si>
    <t>HANGING HEART JAR T-LIGHT HOLDER</t>
  </si>
  <si>
    <t>84078A</t>
  </si>
  <si>
    <t>SET/4 WHITE RETRO STORAGE CUBES</t>
  </si>
  <si>
    <t>23301</t>
  </si>
  <si>
    <t>GARDENERS KNEELING PAD KEEP CALM</t>
  </si>
  <si>
    <t>84029G</t>
  </si>
  <si>
    <t>KNITTED UNION FLAG HOT WATER BOTTLE</t>
  </si>
  <si>
    <t>85152</t>
  </si>
  <si>
    <t>HAND OVER THE CHOCOLATE   SIGN</t>
  </si>
  <si>
    <t>23313</t>
  </si>
  <si>
    <t>VINTAGE CHRISTMAS BUNTING</t>
  </si>
  <si>
    <t>15056BL</t>
  </si>
  <si>
    <t>EDWARDIAN PARASOL BLACK</t>
  </si>
  <si>
    <t>22379</t>
  </si>
  <si>
    <t>RECYCLING BAG RETROSPOT</t>
  </si>
  <si>
    <t>82483</t>
  </si>
  <si>
    <t>WOOD 2 DRAWER CABINET WHITE FINISH</t>
  </si>
  <si>
    <t>22084</t>
  </si>
  <si>
    <t>PAPER CHAIN KIT EMPIRE</t>
  </si>
  <si>
    <t>22900</t>
  </si>
  <si>
    <t>SET 2 TEA TOWELS I LOVE LONDON</t>
  </si>
  <si>
    <t>84997D</t>
  </si>
  <si>
    <t>CHILDRENS CUTLERY POLKADOT PINK</t>
  </si>
  <si>
    <t>22752</t>
  </si>
  <si>
    <t>SET 7 BABUSHKA NESTING BOXES</t>
  </si>
  <si>
    <t>22866</t>
  </si>
  <si>
    <t>HAND WARMER SCOTTY DOG DESIGN</t>
  </si>
  <si>
    <t>22847</t>
  </si>
  <si>
    <t>BREAD BIN DINER STYLE IVORY</t>
  </si>
  <si>
    <t>48184</t>
  </si>
  <si>
    <t>DOORMAT ENGLISH ROSE</t>
  </si>
  <si>
    <t>23200</t>
  </si>
  <si>
    <t>JUMBO BAG PEARS</t>
  </si>
  <si>
    <t>22507</t>
  </si>
  <si>
    <t>MEMO BOARD RETROSPOT  DESIGN</t>
  </si>
  <si>
    <t>22083</t>
  </si>
  <si>
    <t>PAPER CHAIN KIT RETROSPOT</t>
  </si>
  <si>
    <t>22625</t>
  </si>
  <si>
    <t>RED KITCHEN SCALES</t>
  </si>
  <si>
    <t>21232</t>
  </si>
  <si>
    <t>STRAWBERRY CERAMIC TRINKET BOX</t>
  </si>
  <si>
    <t>22867</t>
  </si>
  <si>
    <t>HAND WARMER BIRD DESIGN</t>
  </si>
  <si>
    <t>21930</t>
  </si>
  <si>
    <t>JUMBO STORAGE BAG SKULLS</t>
  </si>
  <si>
    <t>23343</t>
  </si>
  <si>
    <t>JUMBO BAG VINTAGE CHRISTMAS</t>
  </si>
  <si>
    <t>22622</t>
  </si>
  <si>
    <t>BOX OF VINTAGE ALPHABET BLOCKS</t>
  </si>
  <si>
    <t>84077</t>
  </si>
  <si>
    <t>WORLD WAR 2 GLIDERS ASSTD DESIGNS</t>
  </si>
  <si>
    <t>20971</t>
  </si>
  <si>
    <t>PINK BLUE FELT CRAFT TRINKET BOX</t>
  </si>
  <si>
    <t>22941</t>
  </si>
  <si>
    <t>CHRISTMAS LIGHTS 10 REINDEER</t>
  </si>
  <si>
    <t>AMAZONFEE</t>
  </si>
  <si>
    <t>AMAZON FEE</t>
  </si>
  <si>
    <t>22171</t>
  </si>
  <si>
    <t>3 HOOK PHOTO SHELF ANTIQUE WHITE</t>
  </si>
  <si>
    <t>23077</t>
  </si>
  <si>
    <t>DOUGHNUT LIP GLOSS</t>
  </si>
  <si>
    <t>22551</t>
  </si>
  <si>
    <t>PLASTERS IN TIN SPACEBOY</t>
  </si>
  <si>
    <t>21524</t>
  </si>
  <si>
    <t>DOORMAT SPOTTY HOME SWEET HOME</t>
  </si>
  <si>
    <t>23356</t>
  </si>
  <si>
    <t>LOVE HOT WATER BOTTLE</t>
  </si>
  <si>
    <t>23207</t>
  </si>
  <si>
    <t>LUNCH BAG ALPHABET DESIGN</t>
  </si>
  <si>
    <t>22558</t>
  </si>
  <si>
    <t>CLOTHES PEGS RETROSPOT PACK 24</t>
  </si>
  <si>
    <t>22554</t>
  </si>
  <si>
    <t>PLASTERS IN TIN WOODLAND ANIMALS</t>
  </si>
  <si>
    <t>23108</t>
  </si>
  <si>
    <t>SET OF 10 LED DOLLY LIGHTS</t>
  </si>
  <si>
    <t>23328</t>
  </si>
  <si>
    <t>SET 6 SCHOOL MILK BOTTLES IN CRATE</t>
  </si>
  <si>
    <t>22113</t>
  </si>
  <si>
    <t>GREY HEART HOT WATER BOTTLE</t>
  </si>
  <si>
    <t>22499</t>
  </si>
  <si>
    <t>WOODEN UNION JACK BUNTING</t>
  </si>
  <si>
    <t>22427</t>
  </si>
  <si>
    <t>ENAMEL FLOWER JUG CREAM</t>
  </si>
  <si>
    <t>20750</t>
  </si>
  <si>
    <t>RED RETROSPOT MINI CASES</t>
  </si>
  <si>
    <t>20749</t>
  </si>
  <si>
    <t>ASSORTED COLOUR MINI CASES</t>
  </si>
  <si>
    <t>21755</t>
  </si>
  <si>
    <t>LOVE BUILDING BLOCK WORD</t>
  </si>
  <si>
    <t>22607</t>
  </si>
  <si>
    <t>WOODEN ROUNDERS GARDEN SET</t>
  </si>
  <si>
    <t>20723</t>
  </si>
  <si>
    <t>STRAWBERRY CHARLOTTE BAG</t>
  </si>
  <si>
    <t>21790</t>
  </si>
  <si>
    <t>VINTAGE SNAP CARDS</t>
  </si>
  <si>
    <t>22188</t>
  </si>
  <si>
    <t>BLACK HEART CARD HOLDER</t>
  </si>
  <si>
    <t>22568</t>
  </si>
  <si>
    <t>FELTCRAFT CUSHION OWL</t>
  </si>
  <si>
    <t>22424</t>
  </si>
  <si>
    <t>ENAMEL BREAD BIN CREAM</t>
  </si>
  <si>
    <t>22149</t>
  </si>
  <si>
    <t>FELTCRAFT 6 FLOWER FRIENDS</t>
  </si>
  <si>
    <t>23174</t>
  </si>
  <si>
    <t>REGENCY SUGAR BOWL GREEN</t>
  </si>
  <si>
    <t>21977</t>
  </si>
  <si>
    <t>PACK OF 60 PINK PAISLEY CAKE CASES</t>
  </si>
  <si>
    <t>48188</t>
  </si>
  <si>
    <t>DOORMAT WELCOME PUPPIES</t>
  </si>
  <si>
    <t>47590B</t>
  </si>
  <si>
    <t>PINK HAPPY BIRTHDAY BUNTING</t>
  </si>
  <si>
    <t>22273</t>
  </si>
  <si>
    <t>FELTCRAFT DOLL MOLLY</t>
  </si>
  <si>
    <t>22191</t>
  </si>
  <si>
    <t>IVORY DINER WALL CLOCK</t>
  </si>
  <si>
    <t>22158</t>
  </si>
  <si>
    <t>3 HEARTS HANGING DECORATION RUSTIC</t>
  </si>
  <si>
    <t>82486</t>
  </si>
  <si>
    <t>WOOD S/3 CABINET ANT WHITE FINISH</t>
  </si>
  <si>
    <t>21430</t>
  </si>
  <si>
    <t>SET/3 RED GINGHAM ROSE STORAGE BOX</t>
  </si>
  <si>
    <t>22087</t>
  </si>
  <si>
    <t>PAPER BUNTING WHITE LACE</t>
  </si>
  <si>
    <t>22193</t>
  </si>
  <si>
    <t>RED DINER WALL CLOCK</t>
  </si>
  <si>
    <t>23300</t>
  </si>
  <si>
    <t>GARDENERS KNEELING PAD CUP OF TEA</t>
  </si>
  <si>
    <t>PICNIC BASKET WICKER SMALL</t>
  </si>
  <si>
    <t>21936</t>
  </si>
  <si>
    <t>RED RETROSPOT PICNIC BAG</t>
  </si>
  <si>
    <t>23581</t>
  </si>
  <si>
    <t>JUMBO BAG PAISLEY PARK</t>
  </si>
  <si>
    <t>22692</t>
  </si>
  <si>
    <t>DOORMAT WELCOME TO OUR HOME</t>
  </si>
  <si>
    <t>21217</t>
  </si>
  <si>
    <t>RED RETROSPOT ROUND CAKE TINS</t>
  </si>
  <si>
    <t>22730</t>
  </si>
  <si>
    <t>ALARM CLOCK BAKELIKE IVORY</t>
  </si>
  <si>
    <t>21481</t>
  </si>
  <si>
    <t>FAWN BLUE HOT WATER BOTTLE</t>
  </si>
  <si>
    <t>22356</t>
  </si>
  <si>
    <t>CHARLOTTE BAG PINK POLKADOT</t>
  </si>
  <si>
    <t>21216</t>
  </si>
  <si>
    <t>SET 3 RETROSPOT TEA,COFFEE,SUGAR</t>
  </si>
  <si>
    <t>22041</t>
  </si>
  <si>
    <t>RECORD FRAME 7" SINGLE SIZE</t>
  </si>
  <si>
    <t>21340</t>
  </si>
  <si>
    <t>CLASSIC METAL BIRDCAGE PLANT HOLDER</t>
  </si>
  <si>
    <t>21080</t>
  </si>
  <si>
    <t>SET/20 RED RETROSPOT PAPER NAPKINS</t>
  </si>
  <si>
    <t>47566B</t>
  </si>
  <si>
    <t>TEA TIME PARTY BUNTING</t>
  </si>
  <si>
    <t>22605</t>
  </si>
  <si>
    <t>WOODEN CROQUET GARDEN SET</t>
  </si>
  <si>
    <t>22570</t>
  </si>
  <si>
    <t>FELTCRAFT CUSHION RABBIT</t>
  </si>
  <si>
    <t>23170</t>
  </si>
  <si>
    <t>REGENCY TEA PLATE ROSES</t>
  </si>
  <si>
    <t>Top 200 product descriptions/stock codes by gross sales are displayed. Descriptions are retained as provided by the source.</t>
  </si>
  <si>
    <t>CUSTOMER PERFORMANCE</t>
  </si>
  <si>
    <t>IDENTIFIED CUSTOMERS</t>
  </si>
  <si>
    <t>REPEAT SHARE OF SALES</t>
  </si>
  <si>
    <t>AVG SALES PER CUSTOMER</t>
  </si>
  <si>
    <t>TOP CUSTOMER SALES</t>
  </si>
  <si>
    <t>TOP 10 CUSTOMERS SHARE</t>
  </si>
  <si>
    <t>With a CustomerID</t>
  </si>
  <si>
    <t>2+ distinct orders</t>
  </si>
  <si>
    <t>Of identified-customer sales</t>
  </si>
  <si>
    <t>Identified customers</t>
  </si>
  <si>
    <t>2,845 of 4,338 identified customers (65.6%) are repeat buyers and generate 93.1% of identified-customer sales.</t>
  </si>
  <si>
    <t>One-time customers are 34.4% of the base but only 6.9% of sales — converting them to a second order is the clearest growth lever.</t>
  </si>
  <si>
    <t>The top 10 customers contribute 17.3% of identified sales; the largest, #14646, spent $280K.</t>
  </si>
  <si>
    <t>Average spend per customer is $2,054, but the leaders spend 50-100x that — a clear VIP segment worth protecting.</t>
  </si>
  <si>
    <t>CUSTOMER DATA TABLE (TOP 500)</t>
  </si>
  <si>
    <t>Customer ID</t>
  </si>
  <si>
    <t>First Purchase</t>
  </si>
  <si>
    <t>Last Purchase</t>
  </si>
  <si>
    <t>Customer Type</t>
  </si>
  <si>
    <t>Repeat</t>
  </si>
  <si>
    <t>One-time</t>
  </si>
  <si>
    <t>Customer-type summary feeds the charts.</t>
  </si>
  <si>
    <t>Customers without CustomerID are not identifiable and are excluded from customer-level summaries, but their eligible sales remain in gross sales.</t>
  </si>
  <si>
    <t>RETURNS &amp; CANCELLATIONS</t>
  </si>
  <si>
    <t>TOTAL REVERSAL VALUE</t>
  </si>
  <si>
    <t>REVERSAL RATE</t>
  </si>
  <si>
    <t>REVERSAL INVOICES</t>
  </si>
  <si>
    <t>REVERSAL LINES</t>
  </si>
  <si>
    <t>PEAK REVERSAL MONTH</t>
  </si>
  <si>
    <t>AVG MONTHLY REVERSALS</t>
  </si>
  <si>
    <t>Cancellations &amp; returns</t>
  </si>
  <si>
    <t>Of total gross sales</t>
  </si>
  <si>
    <t>Transaction lines</t>
  </si>
  <si>
    <t>Reversal value per month</t>
  </si>
  <si>
    <t>Reversals total $897K — 8.4% of gross sales — from 5,172 invoices; cancellations drive all of the value.</t>
  </si>
  <si>
    <t>2011-12 is the peak month at $205K even though December 2011 is incomplete — the single largest reversal month.</t>
  </si>
  <si>
    <t>1,336 negative-quantity lines carry no price ($0 reversal value) — stock adjustments rather than customer refunds.</t>
  </si>
  <si>
    <t>Reversal lines peak in 2011-10 (1,346 lines) ahead of Christmas, while the value peak comes from a handful of large cancellations.</t>
  </si>
  <si>
    <t>REVERSAL DATA TABLE</t>
  </si>
  <si>
    <t>Reversal Lines</t>
  </si>
  <si>
    <t>Reversal Invoices</t>
  </si>
  <si>
    <t>Reversal Units</t>
  </si>
  <si>
    <t>Reversal Value</t>
  </si>
  <si>
    <t>Reversal Rate</t>
  </si>
  <si>
    <t>Reversal rate = reversal value ÷ gross sales for the same month (formulas).</t>
  </si>
  <si>
    <t>REVERSAL TYPE SUMMARY</t>
  </si>
  <si>
    <t>Invoice Type</t>
  </si>
  <si>
    <t>Lines</t>
  </si>
  <si>
    <t>Invoices</t>
  </si>
  <si>
    <t>Cancellation</t>
  </si>
  <si>
    <t>Return / negative quantity</t>
  </si>
  <si>
    <t>Rows are flagged when InvoiceNo begins with C or Quantity is negative. The source does not provide a separate refund/return authorization ledger.</t>
  </si>
  <si>
    <t>TIME &amp; ORDER PATTERNS</t>
  </si>
  <si>
    <t>PEAK DAY</t>
  </si>
  <si>
    <t>PEAK DAY SALES</t>
  </si>
  <si>
    <t>PEAK HOUR (SALES)</t>
  </si>
  <si>
    <t>PEAK HOUR SALES</t>
  </si>
  <si>
    <t>BUSIEST HOUR (ORDERS)</t>
  </si>
  <si>
    <t>WEEKEND SHARE OF SALES</t>
  </si>
  <si>
    <t>Highest weekday total</t>
  </si>
  <si>
    <t>Highest hourly total</t>
  </si>
  <si>
    <t>Saturday + Sunday</t>
  </si>
  <si>
    <t>Thursday is the strongest day ($2.20M) and Sunday the weakest trading day ($0.81M); there are no Saturday transactions in the source data.</t>
  </si>
  <si>
    <t>Sales peak at 10:00 ($1.45M), with 10:00-15:00 delivering the bulk of daily revenue.</t>
  </si>
  <si>
    <t>12:00 is the busiest hour by order count (3,220 orders), slightly ahead of the sales peak.</t>
  </si>
  <si>
    <t>Trading is concentrated in business hours: 91% of gross sales fall between 09:00 and 16:59.</t>
  </si>
  <si>
    <t>DAY &amp; HOUR DATA TABLES</t>
  </si>
  <si>
    <t>Day of Week</t>
  </si>
  <si>
    <t>Hour</t>
  </si>
  <si>
    <t>Monday</t>
  </si>
  <si>
    <t>Tuesday</t>
  </si>
  <si>
    <t>Wednesday</t>
  </si>
  <si>
    <t>Thursday</t>
  </si>
  <si>
    <t>Friday</t>
  </si>
  <si>
    <t>Saturday</t>
  </si>
  <si>
    <t>Sunday</t>
  </si>
  <si>
    <t>Day-of-week and hourly summaries use the timestamp recorded in InvoiceDate; no timezone conversion is applied. Saturday is shown as zero: the source contains no Saturday transactions.</t>
  </si>
  <si>
    <t>DATA QUALITY &amp; VALIDATION</t>
  </si>
  <si>
    <t>Only 97.8% of source rows (530,104 of 541,909) qualify as positive sales; 11,805 rows are cancellations, returns or zero-price lines.</t>
  </si>
  <si>
    <t>135,080 rows (24.9%) have no CustomerID — they stay in sales totals but are excluded from customer-level analysis.</t>
  </si>
  <si>
    <t>5,268 exact duplicate rows are reported, not deleted, to preserve source fidelity; no rows have a missing InvoiceNo or date.</t>
  </si>
  <si>
    <t>VALIDATION CHECKS</t>
  </si>
  <si>
    <t>Check</t>
  </si>
  <si>
    <t>Result</t>
  </si>
  <si>
    <t>Interpretation</t>
  </si>
  <si>
    <t>Source rows</t>
  </si>
  <si>
    <t>All rows in the supplied source workbook; the full file is bundled separately and the transaction sheet is a preview.</t>
  </si>
  <si>
    <t>Rows with missing InvoiceNo</t>
  </si>
  <si>
    <t>Not eligible for sales analysis; retained in the original source file.</t>
  </si>
  <si>
    <t>Rows with invalid/missing InvoiceDate</t>
  </si>
  <si>
    <t>Not eligible for time-based sales analysis; retained in the original source file.</t>
  </si>
  <si>
    <t>Rows with missing CustomerID</t>
  </si>
  <si>
    <t>Included in sales totals when otherwise valid; excluded from customer-level distinct counts.</t>
  </si>
  <si>
    <t>Rows with missing Description</t>
  </si>
  <si>
    <t>Product analysis retains missing descriptions under blank label / stock code.</t>
  </si>
  <si>
    <t>Cancellation invoice rows (InvoiceNo starts C)</t>
  </si>
  <si>
    <t>Classified as cancellation/reversal rows.</t>
  </si>
  <si>
    <t>Negative quantity rows</t>
  </si>
  <si>
    <t>Classified as return/reversal candidates; not counted as positive sales.</t>
  </si>
  <si>
    <t>Zero/negative unit price rows</t>
  </si>
  <si>
    <t>Excluded from positive-sales KPI calculations; retained in the original source file.</t>
  </si>
  <si>
    <t>Exact duplicate source rows</t>
  </si>
  <si>
    <t>Reported, not automatically deleted to preserve source fidelity.</t>
  </si>
  <si>
    <t>Positive sale rows used for sales metrics</t>
  </si>
  <si>
    <t>Invoice not marked C, positive quantity and price, valid invoice number and date.</t>
  </si>
  <si>
    <t>Unique positive-sale invoices</t>
  </si>
  <si>
    <t>Distinct invoice numbers among eligible positive-sale rows.</t>
  </si>
  <si>
    <t>Unique customers with ID</t>
  </si>
  <si>
    <t>Distinct CustomerID among eligible positive-sale rows.</t>
  </si>
  <si>
    <t>Unique stock codes sold</t>
  </si>
  <si>
    <t>Distinct StockCode among eligible positive-sale rows.</t>
  </si>
  <si>
    <t>ROW COVERAGE</t>
  </si>
  <si>
    <t>Rows</t>
  </si>
  <si>
    <t>Eligible positive-sale rows</t>
  </si>
  <si>
    <t>Other rows (not used for sales metrics)</t>
  </si>
  <si>
    <t>DATA DICTIONARY &amp; METHODOLOGY</t>
  </si>
  <si>
    <t>READ THIS FIRST</t>
  </si>
  <si>
    <t>Currency: $ formatting is used as requested; source values are GBP and have NOT been converted with an exchange rate.</t>
  </si>
  <si>
    <t>Net Sales = eligible gross sales less estimated cancellation/return value (definitions below).</t>
  </si>
  <si>
    <t>2011-12 is a partial month (data ends 09 Dec 2011), so December totals are not comparable with full months.</t>
  </si>
  <si>
    <t>Saturday has no transactions in the source data; Time Analysis shows it as zero.</t>
  </si>
  <si>
    <t>Analysis sheets use all 541,909 source rows; Transaction Data holds a 1,000-row preview only.</t>
  </si>
  <si>
    <t>DEFINITIONS &amp; METHODOLOGY</t>
  </si>
  <si>
    <t>Topic</t>
  </si>
  <si>
    <t>Definition / Treatment</t>
  </si>
  <si>
    <t>Purpose</t>
  </si>
  <si>
    <t>Analyze the UCI Online Retail transaction dataset using an Excel-first reporting workbook.</t>
  </si>
  <si>
    <t>Source</t>
  </si>
  <si>
    <t>Online Retail.xlsx supplied in this conversation. The Transaction Data sheet shows a 1,000-row preview with derived analysis fields; the full source workbook is included separately in the project package.</t>
  </si>
  <si>
    <t>Sum of Quantity × UnitPrice for eligible positive-sale rows. Eligible means invoice does not start with C, Quantity &gt; 0, UnitPrice &gt; 0, and InvoiceNo and InvoiceDate are present/valid.</t>
  </si>
  <si>
    <t>Sum of absolute Quantity × UnitPrice for rows where InvoiceNo starts with C or Quantity is negative, provided UnitPrice &gt; 0. This is an analytical estimate of cancelled/returned value; it is not a separate refund ledger.</t>
  </si>
  <si>
    <t>Net Sales</t>
  </si>
  <si>
    <t>Gross Sales less Reversal Value. Treat as a transaction-line net measure, not audited accounting revenue.</t>
  </si>
  <si>
    <t>Distinct InvoiceNo among eligible positive-sale rows. Cancellation invoices are excluded from positive-sale orders.</t>
  </si>
  <si>
    <t>Distinct non-null CustomerID among eligible positive-sale rows.</t>
  </si>
  <si>
    <t>Products</t>
  </si>
  <si>
    <t>Distinct non-null StockCode among eligible positive-sale rows.</t>
  </si>
  <si>
    <t>Gross Sales divided by eligible positive-sale invoices.</t>
  </si>
  <si>
    <t>Customer Repeat Rate</t>
  </si>
  <si>
    <t>Customers with more than one distinct eligible positive-sale invoice divided by customers with known CustomerID.</t>
  </si>
  <si>
    <t>Missing customer IDs</t>
  </si>
  <si>
    <t>Rows with missing CustomerID remain included in sales totals when otherwise eligible, but cannot contribute to customer-level unique counts.</t>
  </si>
  <si>
    <t>Duplicate rows</t>
  </si>
  <si>
    <t>Exact duplicate source rows are counted and reported but not deleted automatically.</t>
  </si>
  <si>
    <t>Category field</t>
  </si>
  <si>
    <t>The source dataset does not contain a product category field; product analysis uses StockCode and Description.</t>
  </si>
  <si>
    <t>Date range</t>
  </si>
  <si>
    <t>Calculated from valid InvoiceDate values in the source data.</t>
  </si>
  <si>
    <t>Caveat</t>
  </si>
  <si>
    <t>Cancellation and return treatment is explicit and conservative, but does not replace accounting reconciliation. Inspect Data Quality and Returns &amp; Cancellations before using totals externally.</t>
  </si>
  <si>
    <t>TRANSACTION DATA | PREVIEW</t>
  </si>
  <si>
    <t>Preview of first 1,000 source rows. All 541,909 source rows were used to calculate the analysis sheets. The complete original file is included separately as Online Retail.xlsx.</t>
  </si>
  <si>
    <t>InvoiceNo</t>
  </si>
  <si>
    <t>StockCode</t>
  </si>
  <si>
    <t>Quantity</t>
  </si>
  <si>
    <t>InvoiceDate</t>
  </si>
  <si>
    <t>UnitPrice</t>
  </si>
  <si>
    <t>CustomerID</t>
  </si>
  <si>
    <t>LineValue</t>
  </si>
  <si>
    <t>InvoiceType</t>
  </si>
  <si>
    <t>Year</t>
  </si>
  <si>
    <t>DayOfWeek</t>
  </si>
  <si>
    <t>IsCancellation</t>
  </si>
  <si>
    <t>IsPositiveSale</t>
  </si>
  <si>
    <t>GrossSales</t>
  </si>
  <si>
    <t>ReversalValue</t>
  </si>
  <si>
    <t>NetSales</t>
  </si>
  <si>
    <t>536365</t>
  </si>
  <si>
    <t>Sale / positive quantity</t>
  </si>
  <si>
    <t>71053</t>
  </si>
  <si>
    <t>WHITE METAL LANTERN</t>
  </si>
  <si>
    <t>84406B</t>
  </si>
  <si>
    <t>CREAM CUPID HEARTS COAT HANGER</t>
  </si>
  <si>
    <t>21730</t>
  </si>
  <si>
    <t>GLASS STAR FROSTED T-LIGHT HOLDER</t>
  </si>
  <si>
    <t>536366</t>
  </si>
  <si>
    <t>22633</t>
  </si>
  <si>
    <t>HAND WARMER UNION JACK</t>
  </si>
  <si>
    <t>22632</t>
  </si>
  <si>
    <t>HAND WARMER RED POLKA DOT</t>
  </si>
  <si>
    <t>536367</t>
  </si>
  <si>
    <t>22745</t>
  </si>
  <si>
    <t>POPPY'S PLAYHOUSE BEDROOM</t>
  </si>
  <si>
    <t>22748</t>
  </si>
  <si>
    <t>POPPY'S PLAYHOUSE KITCHEN</t>
  </si>
  <si>
    <t>22749</t>
  </si>
  <si>
    <t>FELTCRAFT PRINCESS CHARLOTTE DOLL</t>
  </si>
  <si>
    <t>22310</t>
  </si>
  <si>
    <t>IVORY KNITTED MUG COSY</t>
  </si>
  <si>
    <t>84969</t>
  </si>
  <si>
    <t>BOX OF 6 ASSORTED COLOUR TEASPOONS</t>
  </si>
  <si>
    <t>22623</t>
  </si>
  <si>
    <t>BOX OF VINTAGE JIGSAW BLOCKS</t>
  </si>
  <si>
    <t>21777</t>
  </si>
  <si>
    <t>RECIPE BOX WITH METAL HEART</t>
  </si>
  <si>
    <t>536368</t>
  </si>
  <si>
    <t>22913</t>
  </si>
  <si>
    <t>RED COAT RACK PARIS FASHION</t>
  </si>
  <si>
    <t>22912</t>
  </si>
  <si>
    <t>YELLOW COAT RACK PARIS FASHION</t>
  </si>
  <si>
    <t>22914</t>
  </si>
  <si>
    <t>BLUE COAT RACK PARIS FASHION</t>
  </si>
  <si>
    <t>536369</t>
  </si>
  <si>
    <t>21756</t>
  </si>
  <si>
    <t>BATH BUILDING BLOCK WORD</t>
  </si>
  <si>
    <t>536370</t>
  </si>
  <si>
    <t>21724</t>
  </si>
  <si>
    <t>PANDA AND BUNNIES STICKER SHEET</t>
  </si>
  <si>
    <t>21883</t>
  </si>
  <si>
    <t>STARS GIFT TAPE</t>
  </si>
  <si>
    <t>10002</t>
  </si>
  <si>
    <t>INFLATABLE POLITICAL GLOBE</t>
  </si>
  <si>
    <t>21791</t>
  </si>
  <si>
    <t>VINTAGE HEADS AND TAILS CARD GAME</t>
  </si>
  <si>
    <t>21035</t>
  </si>
  <si>
    <t>SET/2 RED RETROSPOT TEA TOWELS</t>
  </si>
  <si>
    <t>22631</t>
  </si>
  <si>
    <t>CIRCUS PARADE LUNCH BOX</t>
  </si>
  <si>
    <t>22661</t>
  </si>
  <si>
    <t>CHARLOTTE BAG DOLLY GIRL DESIGN</t>
  </si>
  <si>
    <t>21913</t>
  </si>
  <si>
    <t>VINTAGE SEASIDE JIGSAW PUZZLES</t>
  </si>
  <si>
    <t>22540</t>
  </si>
  <si>
    <t>MINI JIGSAW CIRCUS PARADE</t>
  </si>
  <si>
    <t>22544</t>
  </si>
  <si>
    <t>MINI JIGSAW SPACEBOY</t>
  </si>
  <si>
    <t>536371</t>
  </si>
  <si>
    <t>536372</t>
  </si>
  <si>
    <t>536373</t>
  </si>
  <si>
    <t>20679</t>
  </si>
  <si>
    <t>EDWARDIAN PARASOL RED</t>
  </si>
  <si>
    <t>37370</t>
  </si>
  <si>
    <t>RETRO COFFEE MUGS ASSORTED</t>
  </si>
  <si>
    <t>21871</t>
  </si>
  <si>
    <t>SAVE THE PLANET MUG</t>
  </si>
  <si>
    <t>21071</t>
  </si>
  <si>
    <t>VINTAGE BILLBOARD DRINK ME MUG</t>
  </si>
  <si>
    <t>21068</t>
  </si>
  <si>
    <t>VINTAGE BILLBOARD LOVE/HATE MUG</t>
  </si>
  <si>
    <t>536374</t>
  </si>
  <si>
    <t>21258</t>
  </si>
  <si>
    <t>VICTORIAN SEWING BOX LARGE</t>
  </si>
  <si>
    <t>536375</t>
  </si>
  <si>
    <t>536376</t>
  </si>
  <si>
    <t>536377</t>
  </si>
  <si>
    <t>536378</t>
  </si>
  <si>
    <t>21033</t>
  </si>
  <si>
    <t>JUMBO BAG CHARLIE AND LOLA TOYS</t>
  </si>
  <si>
    <t>84997B</t>
  </si>
  <si>
    <t>RED 3 PIECE RETROSPOT CUTLERY SET</t>
  </si>
  <si>
    <t>84997C</t>
  </si>
  <si>
    <t>BLUE 3 PIECE POLKADOT CUTLERY SET</t>
  </si>
  <si>
    <t>21094</t>
  </si>
  <si>
    <t>SET/6 RED SPOTTY PAPER PLATES</t>
  </si>
  <si>
    <t>21559</t>
  </si>
  <si>
    <t>STRAWBERRY LUNCH BOX WITH CUTLERY</t>
  </si>
  <si>
    <t>22352</t>
  </si>
  <si>
    <t>LUNCH BOX WITH CUTLERY RETROSPOT</t>
  </si>
  <si>
    <t>21975</t>
  </si>
  <si>
    <t>PACK OF 60 DINOSAUR CAKE CASES</t>
  </si>
  <si>
    <t>84991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</si>
  <si>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</si>
  <si>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</si>
  <si>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</si>
  <si>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</si>
  <si>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</si>
  <si>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</si>
  <si>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</si>
  <si>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536380</t>
  </si>
  <si>
    <t>536381</t>
  </si>
  <si>
    <t>84854</t>
  </si>
  <si>
    <t>GIRLY PINK TOOL SET</t>
  </si>
  <si>
    <t>82567</t>
  </si>
  <si>
    <t>AIRLINE LOUNGE,METAL SIGN</t>
  </si>
  <si>
    <t>21672</t>
  </si>
  <si>
    <t>WHITE SPOT RED CERAMIC DRAWER KNOB</t>
  </si>
  <si>
    <t>22774</t>
  </si>
  <si>
    <t>RED DRAWER KNOB ACRYLIC EDWARDIAN</t>
  </si>
  <si>
    <t>22771</t>
  </si>
  <si>
    <t>CLEAR DRAWER KNOB ACRYLIC EDWARDIAN</t>
  </si>
  <si>
    <t>71270</t>
  </si>
  <si>
    <t>PHOTO CLIP LINE</t>
  </si>
  <si>
    <t>22262</t>
  </si>
  <si>
    <t>FELT EGG COSY CHICKEN</t>
  </si>
  <si>
    <t>22637</t>
  </si>
  <si>
    <t>PIGGY BANK RETROSPOT</t>
  </si>
  <si>
    <t>21934</t>
  </si>
  <si>
    <t>SKULL SHOULDER BAG</t>
  </si>
  <si>
    <t>21169</t>
  </si>
  <si>
    <t>YOU'RE CONFUSING ME METAL SIGN</t>
  </si>
  <si>
    <t>37444A</t>
  </si>
  <si>
    <t>YELLOW BREAKFAST CUP AND SAUCER</t>
  </si>
  <si>
    <t>37444C</t>
  </si>
  <si>
    <t>PINK BREAKFAST CUP AND SAUCER</t>
  </si>
  <si>
    <t>84971S</t>
  </si>
  <si>
    <t>SMALL HEART FLOWERS HOOK</t>
  </si>
  <si>
    <t>47580</t>
  </si>
  <si>
    <t>TEA TIME DES TEA COSY</t>
  </si>
  <si>
    <t>22261</t>
  </si>
  <si>
    <t>FELT EGG COSY WHITE RABBIT</t>
  </si>
  <si>
    <t>84832</t>
  </si>
  <si>
    <t>ZINC WILLIE WINKIE  CANDLE STICK</t>
  </si>
  <si>
    <t>22644</t>
  </si>
  <si>
    <t>CERAMIC CHERRY CAKE MONEY BANK</t>
  </si>
  <si>
    <t>21533</t>
  </si>
  <si>
    <t>RETROSPOT LARGE MILK JUG</t>
  </si>
  <si>
    <t>21557</t>
  </si>
  <si>
    <t>SET OF 6 FUNKY BEAKERS</t>
  </si>
  <si>
    <t>22646</t>
  </si>
  <si>
    <t>CERAMIC STRAWBERRY CAKE MONEY BANK</t>
  </si>
  <si>
    <t>22176</t>
  </si>
  <si>
    <t>BLUE OWL SOFT TOY</t>
  </si>
  <si>
    <t>22438</t>
  </si>
  <si>
    <t>BALLOON ART MAKE YOUR OWN FLOWERS</t>
  </si>
  <si>
    <t>22778</t>
  </si>
  <si>
    <t>GLASS CLOCHE SMALL</t>
  </si>
  <si>
    <t>22719</t>
  </si>
  <si>
    <t>GUMBALL MONOCHROME COAT RACK</t>
  </si>
  <si>
    <t>C536379</t>
  </si>
  <si>
    <t>D</t>
  </si>
  <si>
    <t>Discount</t>
  </si>
  <si>
    <t>536382</t>
  </si>
  <si>
    <t>21912</t>
  </si>
  <si>
    <t>VINTAGE SNAKES &amp; LADDERS</t>
  </si>
  <si>
    <t>21832</t>
  </si>
  <si>
    <t>CHOCOLATE CALCULATOR</t>
  </si>
  <si>
    <t>22381</t>
  </si>
  <si>
    <t>TOY TIDY PINK POLKADOT</t>
  </si>
  <si>
    <t>22798</t>
  </si>
  <si>
    <t>ANTIQUE GLASS DRESSING TABLE POT</t>
  </si>
  <si>
    <t>22926</t>
  </si>
  <si>
    <t>IVORY GIANT GARDEN THERMOMETER</t>
  </si>
  <si>
    <t>22839</t>
  </si>
  <si>
    <t>3 TIER CAKE TIN GREEN AND CREAM</t>
  </si>
  <si>
    <t>22838</t>
  </si>
  <si>
    <t>3 TIER CAKE TIN RED AND CREAM</t>
  </si>
  <si>
    <t>22783</t>
  </si>
  <si>
    <t>SET 3 WICKER OVAL BASKETS W LIDS</t>
  </si>
  <si>
    <t>C536383</t>
  </si>
  <si>
    <t>35004C</t>
  </si>
  <si>
    <t>SET OF 3 COLOURED  FLYING DUCKS</t>
  </si>
  <si>
    <t>536384</t>
  </si>
  <si>
    <t>84755</t>
  </si>
  <si>
    <t>COLOUR GLASS T-LIGHT HOLDER HANGING</t>
  </si>
  <si>
    <t>22464</t>
  </si>
  <si>
    <t>HANGING METAL HEART LANTERN</t>
  </si>
  <si>
    <t>21324</t>
  </si>
  <si>
    <t>HANGING MEDINA LANTERN SMALL</t>
  </si>
  <si>
    <t>22224</t>
  </si>
  <si>
    <t>WHITE LOVEBIRD LANTERN</t>
  </si>
  <si>
    <t>22428</t>
  </si>
  <si>
    <t>ENAMEL FIRE BUCKET CREAM</t>
  </si>
  <si>
    <t>536385</t>
  </si>
  <si>
    <t>22663</t>
  </si>
  <si>
    <t>JUMBO BAG DOLLY GIRL DESIGN</t>
  </si>
  <si>
    <t>85049A</t>
  </si>
  <si>
    <t>TRADITIONAL CHRISTMAS RIBBONS</t>
  </si>
  <si>
    <t>22168</t>
  </si>
  <si>
    <t>ORGANISER WOOD ANTIQUE WHITE</t>
  </si>
  <si>
    <t>22662</t>
  </si>
  <si>
    <t>LUNCH BAG DOLLY GIRL DESIGN</t>
  </si>
  <si>
    <t>536386</t>
  </si>
  <si>
    <t>84880</t>
  </si>
  <si>
    <t>WHITE WIRE EGG HOLDER</t>
  </si>
  <si>
    <t>536387</t>
  </si>
  <si>
    <t>22780</t>
  </si>
  <si>
    <t>LIGHT GARLAND BUTTERFILES PINK</t>
  </si>
  <si>
    <t>22779</t>
  </si>
  <si>
    <t>WOODEN OWLS LIGHT GARLAND</t>
  </si>
  <si>
    <t>22466</t>
  </si>
  <si>
    <t>FAIRY TALE COTTAGE NIGHTLIGHT</t>
  </si>
  <si>
    <t>536388</t>
  </si>
  <si>
    <t>21363</t>
  </si>
  <si>
    <t>HOME SMALL WOOD LETTERS</t>
  </si>
  <si>
    <t>21411</t>
  </si>
  <si>
    <t>GINGHAM HEART  DOORSTOP RED</t>
  </si>
  <si>
    <t>22318</t>
  </si>
  <si>
    <t>FIVE HEART HANGING DECORATION</t>
  </si>
  <si>
    <t>22915</t>
  </si>
  <si>
    <t>ASSORTED BOTTLE TOP  MAGNETS</t>
  </si>
  <si>
    <t>22922</t>
  </si>
  <si>
    <t>FRIDGE MAGNETS US DINER ASSORTED</t>
  </si>
  <si>
    <t>22923</t>
  </si>
  <si>
    <t>FRIDGE MAGNETS LES ENFANTS ASSORTED</t>
  </si>
  <si>
    <t>21115</t>
  </si>
  <si>
    <t>ROSE CARAVAN DOORSTOP</t>
  </si>
  <si>
    <t>22242</t>
  </si>
  <si>
    <t>5 HOOK HANGER MAGIC TOADSTOOL</t>
  </si>
  <si>
    <t>536389</t>
  </si>
  <si>
    <t>21622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</si>
  <si>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</si>
  <si>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</si>
  <si>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</si>
  <si>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</si>
  <si>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</si>
  <si>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</si>
  <si>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</si>
  <si>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22192</t>
  </si>
  <si>
    <t>BLUE DINER WALL CLOCK</t>
  </si>
  <si>
    <t>22195</t>
  </si>
  <si>
    <t>LARGE HEART MEASURING SPOONS</t>
  </si>
  <si>
    <t>22196</t>
  </si>
  <si>
    <t>SMALL HEART MEASURING SPOONS</t>
  </si>
  <si>
    <t>536390</t>
  </si>
  <si>
    <t>22962</t>
  </si>
  <si>
    <t>JAM JAR WITH PINK LID</t>
  </si>
  <si>
    <t>22963</t>
  </si>
  <si>
    <t>JAM JAR WITH GREEN LID</t>
  </si>
  <si>
    <t>22968</t>
  </si>
  <si>
    <t>ROSE COTTAGE KEEPSAKE BOX</t>
  </si>
  <si>
    <t>84970S</t>
  </si>
  <si>
    <t>HANGING HEART ZINC T-LIGHT HOLDER</t>
  </si>
  <si>
    <t>20668</t>
  </si>
  <si>
    <t>DISCO BALL CHRISTMAS DECORATION</t>
  </si>
  <si>
    <t>22198</t>
  </si>
  <si>
    <t>LARGE POPCORN HOLDER</t>
  </si>
  <si>
    <t>21086</t>
  </si>
  <si>
    <t>SET/6 RED SPOTTY PAPER CUPS</t>
  </si>
  <si>
    <t>21786</t>
  </si>
  <si>
    <t>POLKADOT RAIN HAT</t>
  </si>
  <si>
    <t>22654</t>
  </si>
  <si>
    <t>DELUXE SEWING KIT</t>
  </si>
  <si>
    <t>84030E</t>
  </si>
  <si>
    <t>ENGLISH ROSE HOT WATER BOTTLE</t>
  </si>
  <si>
    <t>22174</t>
  </si>
  <si>
    <t>PHOTO CUBE</t>
  </si>
  <si>
    <t>C536391</t>
  </si>
  <si>
    <t>22556</t>
  </si>
  <si>
    <t>PLASTERS IN TIN CIRCUS PARADE</t>
  </si>
  <si>
    <t>21984</t>
  </si>
  <si>
    <t>PACK OF 12 PINK PAISLEY TISSUES</t>
  </si>
  <si>
    <t>21983</t>
  </si>
  <si>
    <t>PACK OF 12 BLUE PAISLEY TISSUES</t>
  </si>
  <si>
    <t>21980</t>
  </si>
  <si>
    <t>PACK OF 12 RED RETROSPOT TISSUES</t>
  </si>
  <si>
    <t>21484</t>
  </si>
  <si>
    <t>CHICK GREY HOT WATER BOTTLE</t>
  </si>
  <si>
    <t>22557</t>
  </si>
  <si>
    <t>PLASTERS IN TIN VINTAGE PAISLEY</t>
  </si>
  <si>
    <t>22553</t>
  </si>
  <si>
    <t>PLASTERS IN TIN SKULLS</t>
  </si>
  <si>
    <t>536392</t>
  </si>
  <si>
    <t>22150</t>
  </si>
  <si>
    <t>3 STRIPEY MICE FELTCRAFT</t>
  </si>
  <si>
    <t>22619</t>
  </si>
  <si>
    <t>SET OF 6 SOLDIER SKITTLES</t>
  </si>
  <si>
    <t>21891</t>
  </si>
  <si>
    <t>TRADITIONAL WOODEN SKIPPING ROPE</t>
  </si>
  <si>
    <t>21889</t>
  </si>
  <si>
    <t>WOODEN BOX OF DOMINOES</t>
  </si>
  <si>
    <t>22827</t>
  </si>
  <si>
    <t>RUSTIC  SEVENTEEN DRAWER SIDEBOARD</t>
  </si>
  <si>
    <t>22127</t>
  </si>
  <si>
    <t>PARTY CONES CARNIVAL ASSORTED</t>
  </si>
  <si>
    <t>22128</t>
  </si>
  <si>
    <t>PARTY CONES CANDY ASSORTED</t>
  </si>
  <si>
    <t>22338</t>
  </si>
  <si>
    <t>STAR DECORATION PAINTED ZINC</t>
  </si>
  <si>
    <t>536393</t>
  </si>
  <si>
    <t>22180</t>
  </si>
  <si>
    <t>RETROSPOT LAMP</t>
  </si>
  <si>
    <t>536394</t>
  </si>
  <si>
    <t>21506</t>
  </si>
  <si>
    <t>FANCY FONT BIRTHDAY CARD,</t>
  </si>
  <si>
    <t>HAND WARMER RED RETROSPOT</t>
  </si>
  <si>
    <t>22349</t>
  </si>
  <si>
    <t>DOG BOWL CHASING BALL DESIGN</t>
  </si>
  <si>
    <t>22652</t>
  </si>
  <si>
    <t>TRAVEL SEWING KIT</t>
  </si>
  <si>
    <t>536395</t>
  </si>
  <si>
    <t>21314</t>
  </si>
  <si>
    <t>SMALL GLASS HEART TRINKET POT</t>
  </si>
  <si>
    <t>22729</t>
  </si>
  <si>
    <t>ALARM CLOCK BAKELIKE ORANGE</t>
  </si>
  <si>
    <t>536396</t>
  </si>
  <si>
    <t>22803</t>
  </si>
  <si>
    <t>IVORY EMBROIDERED QUILT</t>
  </si>
  <si>
    <t>536397</t>
  </si>
  <si>
    <t>35004B</t>
  </si>
  <si>
    <t>SET OF 3 BLACK FLYING DUCKS</t>
  </si>
  <si>
    <t>536398</t>
  </si>
  <si>
    <t>21844</t>
  </si>
  <si>
    <t>RED RETROSPOT MUG</t>
  </si>
  <si>
    <t>22468</t>
  </si>
  <si>
    <t>BABUSHKA LIGHTS STRING OF 10</t>
  </si>
  <si>
    <t>22064</t>
  </si>
  <si>
    <t>PINK DOUGHNUT TRINKET POT</t>
  </si>
  <si>
    <t>22449</t>
  </si>
  <si>
    <t>SILK PURSE BABUSHKA PINK</t>
  </si>
  <si>
    <t>536399</t>
  </si>
  <si>
    <t>536400</t>
  </si>
  <si>
    <t>536401</t>
  </si>
  <si>
    <t>22110</t>
  </si>
  <si>
    <t>BIRD HOUSE HOT WATER BOTTLE</t>
  </si>
  <si>
    <t>22098</t>
  </si>
  <si>
    <t>BOUDOIR SQUARE TISSUE BOX</t>
  </si>
  <si>
    <t>22100</t>
  </si>
  <si>
    <t>SKULLS SQUARE TISSUE BOX</t>
  </si>
  <si>
    <t>22766</t>
  </si>
  <si>
    <t>PHOTO FRAME CORNICE</t>
  </si>
  <si>
    <t>22451</t>
  </si>
  <si>
    <t>SILK PURSE BABUSHKA RED</t>
  </si>
  <si>
    <t>22549</t>
  </si>
  <si>
    <t>PICTURE DOMINOES</t>
  </si>
  <si>
    <t>84744</t>
  </si>
  <si>
    <t>S/6 SEW ON CROCHET FLOWERS</t>
  </si>
  <si>
    <t>85049E</t>
  </si>
  <si>
    <t>SCANDINAVIAN REDS RIBBONS</t>
  </si>
  <si>
    <t>21328</t>
  </si>
  <si>
    <t>BALLOONS  WRITING SET</t>
  </si>
  <si>
    <t>17091A</t>
  </si>
  <si>
    <t>LAVENDER INCENSE IN TIN</t>
  </si>
  <si>
    <t>22473</t>
  </si>
  <si>
    <t>TV DINNER TRAY VINTAGE PAISLEY</t>
  </si>
  <si>
    <t>84509A</t>
  </si>
  <si>
    <t>SET OF 4 ENGLISH ROSE PLACEMATS</t>
  </si>
  <si>
    <t>84510A</t>
  </si>
  <si>
    <t>SET OF 4 ENGLISH ROSE COASTERS</t>
  </si>
  <si>
    <t>22767</t>
  </si>
  <si>
    <t>TRIPLE PHOTO FRAME CORNICE</t>
  </si>
  <si>
    <t>22768</t>
  </si>
  <si>
    <t>FAMILY PHOTO FRAME CORNICE</t>
  </si>
  <si>
    <t>21463</t>
  </si>
  <si>
    <t>MIRRORED DISCO BALL</t>
  </si>
  <si>
    <t>21464</t>
  </si>
  <si>
    <t>DISCO BALL ROTATOR BATTERY OPERATED</t>
  </si>
  <si>
    <t>20820</t>
  </si>
  <si>
    <t>SILVER LOOKING MIRROR</t>
  </si>
  <si>
    <t>85150</t>
  </si>
  <si>
    <t>LADIES &amp; GENTLEMEN METAL SIGN</t>
  </si>
  <si>
    <t>22117</t>
  </si>
  <si>
    <t>METAL SIGN HER DINNER IS SERVED</t>
  </si>
  <si>
    <t>48129</t>
  </si>
  <si>
    <t>DOORMAT TOPIARY</t>
  </si>
  <si>
    <t>82580</t>
  </si>
  <si>
    <t>BATHROOM METAL SIGN</t>
  </si>
  <si>
    <t>82578</t>
  </si>
  <si>
    <t>KITCHEN METAL SIGN</t>
  </si>
  <si>
    <t>82581</t>
  </si>
  <si>
    <t>TOILET METAL SIGN</t>
  </si>
  <si>
    <t>22413</t>
  </si>
  <si>
    <t>METAL SIGN TAKE IT OR LEAVE IT</t>
  </si>
  <si>
    <t>21907</t>
  </si>
  <si>
    <t>I'M ON HOLIDAY METAL SIGN</t>
  </si>
  <si>
    <t>22441</t>
  </si>
  <si>
    <t>GROW YOUR OWN BASIL IN ENAMEL MUG</t>
  </si>
  <si>
    <t>21122</t>
  </si>
  <si>
    <t>SET/10 PINK POLKADOT PARTY CANDLES</t>
  </si>
  <si>
    <t>22851</t>
  </si>
  <si>
    <t>SET 20 NAPKINS FAIRY CAKES DESIGN</t>
  </si>
  <si>
    <t>22810</t>
  </si>
  <si>
    <t>SET OF 6 T-LIGHTS SNOWMEN</t>
  </si>
  <si>
    <t>22809</t>
  </si>
  <si>
    <t>SET OF 6 T-LIGHTS SANTA</t>
  </si>
  <si>
    <t>22435</t>
  </si>
  <si>
    <t>SET OF 9 HEART SHAPED BALLOONS</t>
  </si>
  <si>
    <t>20966</t>
  </si>
  <si>
    <t>SANDWICH BATH SPONGE</t>
  </si>
  <si>
    <t>20963</t>
  </si>
  <si>
    <t>APPLE BATH SPONGE</t>
  </si>
  <si>
    <t>20961</t>
  </si>
  <si>
    <t>STRAWBERRY BATH SPONGE</t>
  </si>
  <si>
    <t>22068</t>
  </si>
  <si>
    <t>BLACK PIRATE TREASURE CHEST</t>
  </si>
  <si>
    <t>21743</t>
  </si>
  <si>
    <t>STAR PORTABLE TABLE LIGHT</t>
  </si>
  <si>
    <t>21744</t>
  </si>
  <si>
    <t>SNOWFLAKE PORTABLE TABLE LIGHT</t>
  </si>
  <si>
    <t>84709B</t>
  </si>
  <si>
    <t>PINK OVAL JEWELLED MIRROR</t>
  </si>
  <si>
    <t>21592</t>
  </si>
  <si>
    <t>RETROSPOT CIGAR BOX MATCHES</t>
  </si>
  <si>
    <t>21587</t>
  </si>
  <si>
    <t>COSY HOUR GIANT TUBE MATCHES</t>
  </si>
  <si>
    <t>20992</t>
  </si>
  <si>
    <t>JAZZ HEARTS PURSE NOTEBOOK</t>
  </si>
  <si>
    <t>22804</t>
  </si>
  <si>
    <t>CANDLEHOLDER PINK HANGING HEART</t>
  </si>
  <si>
    <t>84625C</t>
  </si>
  <si>
    <t>BLUE NEW BAROQUE CANDLESTICK CANDLE</t>
  </si>
  <si>
    <t>84625A</t>
  </si>
  <si>
    <t>PINK NEW BAROQUECANDLESTICK CANDLE</t>
  </si>
  <si>
    <t>22848</t>
  </si>
  <si>
    <t>BREAD BIN DINER STYLE PINK</t>
  </si>
  <si>
    <t>47570B</t>
  </si>
  <si>
    <t>TEA TIME TABLE CLOTH</t>
  </si>
  <si>
    <t>536402</t>
  </si>
  <si>
    <t>22837</t>
  </si>
  <si>
    <t>HOT WATER BOTTLE BABUSHKA</t>
  </si>
  <si>
    <t>536403</t>
  </si>
  <si>
    <t>536404</t>
  </si>
  <si>
    <t>22297</t>
  </si>
  <si>
    <t>HEART IVORY TRELLIS SMALL</t>
  </si>
  <si>
    <t>22772</t>
  </si>
  <si>
    <t>PINK DRAWER KNOB ACRYLIC EDWARDIAN</t>
  </si>
  <si>
    <t>22773</t>
  </si>
  <si>
    <t>GREEN DRAWER KNOB ACRYLIC EDWARDIAN</t>
  </si>
  <si>
    <t>22805</t>
  </si>
  <si>
    <t>BLUE DRAWER KNOB ACRYLIC EDWARDIAN</t>
  </si>
  <si>
    <t>21125</t>
  </si>
  <si>
    <t>SET 6 FOOTBALL CELEBRATION CANDLES</t>
  </si>
  <si>
    <t>21126</t>
  </si>
  <si>
    <t>SET OF 6 GIRLS CELEBRATION CANDLES</t>
  </si>
  <si>
    <t>85049C</t>
  </si>
  <si>
    <t>ROMANTIC PINKS RIBBONS</t>
  </si>
  <si>
    <t>85049D</t>
  </si>
  <si>
    <t>BRIGHT BLUES RIBBONS</t>
  </si>
  <si>
    <t>85049G</t>
  </si>
  <si>
    <t>CHOCOLATE BOX RIBBONS</t>
  </si>
  <si>
    <t>21061</t>
  </si>
  <si>
    <t>PARTY INVITES FOOTBALL</t>
  </si>
  <si>
    <t>21063</t>
  </si>
  <si>
    <t>PARTY INVITES JAZZ HEARTS</t>
  </si>
  <si>
    <t>21062</t>
  </si>
  <si>
    <t>PARTY INVITES SPACEMAN</t>
  </si>
  <si>
    <t>84380</t>
  </si>
  <si>
    <t>SET OF 3 BUTTERFLY COOKIE CUTTERS</t>
  </si>
  <si>
    <t>84378</t>
  </si>
  <si>
    <t>SET OF 3 HEART COOKIE CUTTERS</t>
  </si>
  <si>
    <t>22964</t>
  </si>
  <si>
    <t>3 PIECE SPACEBOY COOKIE CUTTER SET</t>
  </si>
  <si>
    <t>21213</t>
  </si>
  <si>
    <t>PACK OF 72 SKULL CAKE CASES</t>
  </si>
  <si>
    <t>22417</t>
  </si>
  <si>
    <t>PACK OF 60 SPACEBOY CAKE CASES</t>
  </si>
  <si>
    <t>84992</t>
  </si>
  <si>
    <t>72 SWEETHEART FAIRY CAKE CASES</t>
  </si>
  <si>
    <t>LUNCH BAG SUKI  DESIGN</t>
  </si>
  <si>
    <t>22296</t>
  </si>
  <si>
    <t>HEART IVORY TRELLIS LARGE</t>
  </si>
  <si>
    <t>536405</t>
  </si>
  <si>
    <t>536406</t>
  </si>
  <si>
    <t>536407</t>
  </si>
  <si>
    <t>536408</t>
  </si>
  <si>
    <t>22537</t>
  </si>
  <si>
    <t>MAGIC DRAWING SLATE DINOSAUR</t>
  </si>
  <si>
    <t>22533</t>
  </si>
  <si>
    <t>MAGIC DRAWING SLATE BAKE A CAKE</t>
  </si>
  <si>
    <t>20982</t>
  </si>
  <si>
    <t>12 PENCILS TALL TUBE SKULLS</t>
  </si>
  <si>
    <t>21914</t>
  </si>
  <si>
    <t>BLUE HARMONICA IN BOX</t>
  </si>
  <si>
    <t>21544</t>
  </si>
  <si>
    <t>SKULLS  WATER TRANSFER TATTOOS</t>
  </si>
  <si>
    <t>22813</t>
  </si>
  <si>
    <t>PACK 3 BOXES BIRD PANNETONE</t>
  </si>
  <si>
    <t>84375</t>
  </si>
  <si>
    <t>SET OF 20 KIDS COOKIE CUTTERS</t>
  </si>
  <si>
    <t>22418</t>
  </si>
  <si>
    <t>10 COLOUR SPACEBOY PEN</t>
  </si>
  <si>
    <t>84970L</t>
  </si>
  <si>
    <t>SINGLE HEART ZINC T-LIGHT HOLDER</t>
  </si>
  <si>
    <t>22465</t>
  </si>
  <si>
    <t>HANGING METAL STAR LANTERN</t>
  </si>
  <si>
    <t>84949</t>
  </si>
  <si>
    <t>SILVER HANGING T-LIGHT HOLDER</t>
  </si>
  <si>
    <t>22488</t>
  </si>
  <si>
    <t>NATURAL SLATE RECTANGLE CHALKBOARD</t>
  </si>
  <si>
    <t>22219</t>
  </si>
  <si>
    <t>LOVEBIRD HANGING DECORATION WHITE</t>
  </si>
  <si>
    <t>22610</t>
  </si>
  <si>
    <t>PENS ASSORTED FUNNY FACE</t>
  </si>
  <si>
    <t>22716</t>
  </si>
  <si>
    <t>CARD CIRCUS PARADE</t>
  </si>
  <si>
    <t>22706</t>
  </si>
  <si>
    <t>WRAP COWBOYS</t>
  </si>
  <si>
    <t>22371</t>
  </si>
  <si>
    <t>AIRLINE BAG VINTAGE TOKYO 78</t>
  </si>
  <si>
    <t>21210</t>
  </si>
  <si>
    <t>SET OF 72 RETROSPOT PAPER  DOILIES</t>
  </si>
  <si>
    <t>16237</t>
  </si>
  <si>
    <t>SLEEPING CAT ERASERS</t>
  </si>
  <si>
    <t>22714</t>
  </si>
  <si>
    <t>CARD BIRTHDAY COWBOY</t>
  </si>
  <si>
    <t>22812</t>
  </si>
  <si>
    <t>PACK 3 BOXES CHRISTMAS PANNETONE</t>
  </si>
  <si>
    <t>22736</t>
  </si>
  <si>
    <t>RIBBON REEL MAKING SNOWMEN</t>
  </si>
  <si>
    <t>22620</t>
  </si>
  <si>
    <t>4 TRADITIONAL SPINNING TOPS</t>
  </si>
  <si>
    <t>21705</t>
  </si>
  <si>
    <t>BAG 500g SWIRLY MARBLES</t>
  </si>
  <si>
    <t>536409</t>
  </si>
  <si>
    <t>90199C</t>
  </si>
  <si>
    <t>5 STRAND GLASS NECKLACE CRYSTAL</t>
  </si>
  <si>
    <t>22785</t>
  </si>
  <si>
    <t>SQUARECUSHION COVER PINK UNION FLAG</t>
  </si>
  <si>
    <t>22975</t>
  </si>
  <si>
    <t>SPACEBOY CHILDRENS EGG CUP</t>
  </si>
  <si>
    <t>22972</t>
  </si>
  <si>
    <t>CHILDREN'S SPACEBOY MUG</t>
  </si>
  <si>
    <t>85116</t>
  </si>
  <si>
    <t>BLACK CANDELABRA T-LIGHT HOLDER</t>
  </si>
  <si>
    <t>22664</t>
  </si>
  <si>
    <t>TOY TIDY DOLLY GIRL DESIGN</t>
  </si>
  <si>
    <t>21609</t>
  </si>
  <si>
    <t>SET 12 LAVENDER  BOTANICAL T-LIGHTS</t>
  </si>
  <si>
    <t>21866</t>
  </si>
  <si>
    <t>UNION JACK FLAG LUGGAGE TAG</t>
  </si>
  <si>
    <t>20669</t>
  </si>
  <si>
    <t>RED HEART LUGGAGE TAG</t>
  </si>
  <si>
    <t>90129F</t>
  </si>
  <si>
    <t>RED GLASS TASSLE BAG CHARM</t>
  </si>
  <si>
    <t>90210B</t>
  </si>
  <si>
    <t>CLEAR ACRYLIC FACETED BANGLE</t>
  </si>
  <si>
    <t>21955</t>
  </si>
  <si>
    <t>DOORMAT UNION JACK GUNS AND ROSES</t>
  </si>
  <si>
    <t>72802C</t>
  </si>
  <si>
    <t>VANILLA SCENT CANDLE JEWELLED BOX</t>
  </si>
  <si>
    <t>22109</t>
  </si>
  <si>
    <t>FULL ENGLISH BREAKFAST PLATE</t>
  </si>
  <si>
    <t>22531</t>
  </si>
  <si>
    <t>MAGIC DRAWING SLATE CIRCUS PARADE</t>
  </si>
  <si>
    <t>21811</t>
  </si>
  <si>
    <t>CHRISTMAS HANGING HEART WITH BELL</t>
  </si>
  <si>
    <t>22183</t>
  </si>
  <si>
    <t>CAKE STAND VICTORIAN FILIGREE MED</t>
  </si>
  <si>
    <t>21678</t>
  </si>
  <si>
    <t>PAISLEY PATTERN  STICKERS</t>
  </si>
  <si>
    <t>21676</t>
  </si>
  <si>
    <t>FLOWERS  STICKERS</t>
  </si>
  <si>
    <t>85169B</t>
  </si>
  <si>
    <t>BLACK LOVE BIRD CANDLE</t>
  </si>
  <si>
    <t>16238</t>
  </si>
  <si>
    <t>PARTY TIME PENCIL ERASERS</t>
  </si>
  <si>
    <t>84906</t>
  </si>
  <si>
    <t>PINK B'FLY C/COVER W BOBBLES</t>
  </si>
  <si>
    <t>21867</t>
  </si>
  <si>
    <t>PINK UNION JACK  LUGGAGE TAG</t>
  </si>
  <si>
    <t>22075</t>
  </si>
  <si>
    <t>6 RIBBONS ELEGANT CHRISTMAS</t>
  </si>
  <si>
    <t>21326</t>
  </si>
  <si>
    <t>AGED GLASS SILVER T-LIGHT HOLDER</t>
  </si>
  <si>
    <t>21065</t>
  </si>
  <si>
    <t>BOOM BOX SPEAKER GIRLS</t>
  </si>
  <si>
    <t>22074</t>
  </si>
  <si>
    <t>6 RIBBONS SHIMMERING PINKS</t>
  </si>
  <si>
    <t>21116</t>
  </si>
  <si>
    <t>OWL DOORSTOP</t>
  </si>
  <si>
    <t>21824</t>
  </si>
  <si>
    <t>PAINTED METAL STAR WITH HOLLY BELLS</t>
  </si>
  <si>
    <t>21823</t>
  </si>
  <si>
    <t>PAINTED METAL HEART WITH HOLLY BELL</t>
  </si>
  <si>
    <t>22153</t>
  </si>
  <si>
    <t>ANGEL DECORATION STARS ON DRESS</t>
  </si>
  <si>
    <t>20717</t>
  </si>
  <si>
    <t>STRAWBERRY SHOPPER BAG</t>
  </si>
  <si>
    <t>536412</t>
  </si>
  <si>
    <t>22327</t>
  </si>
  <si>
    <t>ROUND SNACK BOXES SET OF 4 SKULLS</t>
  </si>
  <si>
    <t>21245</t>
  </si>
  <si>
    <t>GREEN POLKADOT PLATE</t>
  </si>
  <si>
    <t>21244</t>
  </si>
  <si>
    <t>BLUE POLKADOT PLATE</t>
  </si>
  <si>
    <t>21242</t>
  </si>
  <si>
    <t>RED RETROSPOT PLATE</t>
  </si>
  <si>
    <t>21243</t>
  </si>
  <si>
    <t>PINK  POLKADOT PLATE</t>
  </si>
  <si>
    <t>22940</t>
  </si>
  <si>
    <t>FELTCRAFT CHRISTMAS FAIRY</t>
  </si>
  <si>
    <t>22759</t>
  </si>
  <si>
    <t>SET OF 3 NOTEBOOKS IN PARCEL</t>
  </si>
  <si>
    <t>21880</t>
  </si>
  <si>
    <t>RED RETROSPOT TAPE</t>
  </si>
  <si>
    <t>21738</t>
  </si>
  <si>
    <t>COSY SLIPPER SHOES SMALL  RED</t>
  </si>
  <si>
    <t>21448</t>
  </si>
  <si>
    <t>12 DAISY PEGS IN WOOD BOX</t>
  </si>
  <si>
    <t>22243</t>
  </si>
  <si>
    <t>5 HOOK HANGER RED MAGIC TOADSTOOL</t>
  </si>
  <si>
    <t>22141</t>
  </si>
  <si>
    <t>CHRISTMAS CRAFT TREE TOP ANGEL</t>
  </si>
  <si>
    <t>22144</t>
  </si>
  <si>
    <t>CHRISTMAS CRAFT LITTLE FRIENDS</t>
  </si>
  <si>
    <t>21739</t>
  </si>
  <si>
    <t>COSY SLIPPER SHOES SMALL GREEN</t>
  </si>
  <si>
    <t>22271</t>
  </si>
  <si>
    <t>FELTCRAFT DOLL ROSIE</t>
  </si>
  <si>
    <t>22274</t>
  </si>
  <si>
    <t>FELTCRAFT DOLL EMILY</t>
  </si>
  <si>
    <t>22751</t>
  </si>
  <si>
    <t>FELTCRAFT PRINCESS OLIVIA DOLL</t>
  </si>
  <si>
    <t>21034</t>
  </si>
  <si>
    <t>REX CASH+CARRY JUMBO SHOPPER</t>
  </si>
  <si>
    <t>22569</t>
  </si>
  <si>
    <t>FELTCRAFT CUSHION BUTTERFLY</t>
  </si>
  <si>
    <t>22902</t>
  </si>
  <si>
    <t>TOTE BAG I LOVE LONDON</t>
  </si>
  <si>
    <t>21710</t>
  </si>
  <si>
    <t>FOLDING UMBRELLA PINKWHITE POLKADOT</t>
  </si>
  <si>
    <t>21708</t>
  </si>
  <si>
    <t>FOLDING UMBRELLA CREAM POLKADOT</t>
  </si>
  <si>
    <t>21711</t>
  </si>
  <si>
    <t>FOLDING UMBRELLA WHITE/RED POLKADOT</t>
  </si>
  <si>
    <t>22179</t>
  </si>
  <si>
    <t>SET 10 LIGHTS NIGHT OWL</t>
  </si>
  <si>
    <t>21706</t>
  </si>
  <si>
    <t>FOLDING UMBRELLA RED/WHITE POLKADOT</t>
  </si>
  <si>
    <t>85184C</t>
  </si>
  <si>
    <t>S/4 VALENTINE DECOUPAGE HEART BOX</t>
  </si>
  <si>
    <t>22988</t>
  </si>
  <si>
    <t>SOLDIERS EGG CUP</t>
  </si>
  <si>
    <t>536414</t>
  </si>
  <si>
    <t>536415</t>
  </si>
  <si>
    <t>22952</t>
  </si>
  <si>
    <t>60 CAKE CASES VINTAGE CHRISTMAS</t>
  </si>
  <si>
    <t>22739</t>
  </si>
  <si>
    <t>RIBBON REEL CHRISTMAS SOCK BAUBLE</t>
  </si>
  <si>
    <t>22738</t>
  </si>
  <si>
    <t>RIBBON REEL SNOWY VILLAGE</t>
  </si>
  <si>
    <t>22909</t>
  </si>
  <si>
    <t>SET OF 20 VINTAGE CHRISTMAS NAPKINS</t>
  </si>
  <si>
    <t>35591T</t>
  </si>
  <si>
    <t>TURQUOISE CHRISTMAS TREE</t>
  </si>
  <si>
    <t>22186</t>
  </si>
  <si>
    <t>RED STAR CARD HOLDER</t>
  </si>
  <si>
    <t>22695</t>
  </si>
  <si>
    <t>WICKER WREATH SMALL</t>
  </si>
  <si>
    <t>22580</t>
  </si>
  <si>
    <t>ADVENT CALENDAR GINGHAM SACK</t>
  </si>
  <si>
    <t>22147</t>
  </si>
  <si>
    <t>FELTCRAFT BUTTERFLY HEARTS</t>
  </si>
  <si>
    <t>22130</t>
  </si>
  <si>
    <t>PARTY CONE CHRISTMAS DECORATION</t>
  </si>
  <si>
    <t>22694</t>
  </si>
  <si>
    <t>WICKER STAR</t>
  </si>
  <si>
    <t>22321</t>
  </si>
  <si>
    <t>BIRD DECORATION RED RETROSPOT</t>
  </si>
  <si>
    <t>22594</t>
  </si>
  <si>
    <t>CHRISTMAS GINGHAM TREE</t>
  </si>
  <si>
    <t>22593</t>
  </si>
  <si>
    <t>CHRISTMAS GINGHAM STAR</t>
  </si>
  <si>
    <t>22595</t>
  </si>
  <si>
    <t>CHRISTMAS GINGHAM HEART</t>
  </si>
  <si>
    <t>21986</t>
  </si>
  <si>
    <t>PACK OF 12 PINK POLKADOT TISSUES</t>
  </si>
  <si>
    <t>22750</t>
  </si>
  <si>
    <t>FELTCRAFT PRINCESS LOLA DOLL</t>
  </si>
  <si>
    <t>22616</t>
  </si>
  <si>
    <t>PACK OF 12 LONDON TISSUES</t>
  </si>
  <si>
    <t>22775</t>
  </si>
  <si>
    <t>PURPLE DRAWERKNOB ACRYLIC EDWARDIAN</t>
  </si>
  <si>
    <t>22899</t>
  </si>
  <si>
    <t>CHILDREN'S APRON DOLLY GIRL</t>
  </si>
  <si>
    <t>22367</t>
  </si>
  <si>
    <t>CHILDRENS APRON SPACEBOY DESIGN</t>
  </si>
  <si>
    <t>22942</t>
  </si>
  <si>
    <t>CHRISTMAS LIGHTS 10 SANTAS</t>
  </si>
  <si>
    <t>21976</t>
  </si>
  <si>
    <t>PACK OF 60 MUSHROOM CAKE CASES</t>
  </si>
  <si>
    <t>22951</t>
  </si>
  <si>
    <t>60 CAKE CASES DOLLY GIRL DESIGN</t>
  </si>
  <si>
    <t>22834</t>
  </si>
  <si>
    <t>HAND WARMER BABUSHKA DESIGN</t>
  </si>
  <si>
    <t>21916</t>
  </si>
  <si>
    <t>SET 12 RETRO WHITE CHALK STICKS</t>
  </si>
  <si>
    <t>22587</t>
  </si>
  <si>
    <t>FELTCRAFT HAIRBAND RED AND BLUE</t>
  </si>
  <si>
    <t>22566</t>
  </si>
  <si>
    <t>FELTCRAFT HAIRBAND PINK AND PURPLE</t>
  </si>
  <si>
    <t>22565</t>
  </si>
  <si>
    <t>FELTCRAFT HAIRBANDS PINK AND WHITE</t>
  </si>
  <si>
    <t>22472</t>
  </si>
  <si>
    <t>TV DINNER TRAY DOLLY GIRL</t>
  </si>
  <si>
    <t>22534</t>
  </si>
  <si>
    <t>MAGIC DRAWING SLATE SPACEBOY</t>
  </si>
  <si>
    <t>22529</t>
  </si>
  <si>
    <t>MAGIC DRAWING SLATE GO TO THE FAIR</t>
  </si>
  <si>
    <t>22530</t>
  </si>
  <si>
    <t>MAGIC DRAWING SLATE DOLLY GIRL</t>
  </si>
  <si>
    <t>84032B</t>
  </si>
  <si>
    <t>CHARLIE + LOLA RED HOT WATER BOTTLE</t>
  </si>
  <si>
    <t>85049H</t>
  </si>
  <si>
    <t>URBAN BLACK RIBBONS</t>
  </si>
  <si>
    <t>22807</t>
  </si>
  <si>
    <t>SET OF 6 T-LIGHTS TOADSTOOLS</t>
  </si>
  <si>
    <t>536416</t>
  </si>
  <si>
    <t>21494</t>
  </si>
  <si>
    <t>ROTATING LEAVES T-LIGHT HOLDER</t>
  </si>
  <si>
    <t>22938</t>
  </si>
  <si>
    <t>CUPCAKE LACE PAPER SET 6</t>
  </si>
  <si>
    <t>536420</t>
  </si>
  <si>
    <t>21892</t>
  </si>
  <si>
    <t>TRADITIONAL WOODEN CATCH CUP GAME</t>
  </si>
  <si>
    <t>21890</t>
  </si>
  <si>
    <t>S/6 WOODEN SKITTLES IN COTTON BAG</t>
  </si>
  <si>
    <t>21718</t>
  </si>
  <si>
    <t>RED METAL BEACH SPADE</t>
  </si>
  <si>
    <t>21716</t>
  </si>
  <si>
    <t>BOYS VINTAGE TIN SEASIDE BUCKET</t>
  </si>
  <si>
    <t>21715</t>
  </si>
  <si>
    <t>GIRLS VINTAGE TIN SEASIDE BUCKET</t>
  </si>
  <si>
    <t>22358</t>
  </si>
  <si>
    <t>KINGS CHOICE TEA CADDY</t>
  </si>
  <si>
    <t>22357</t>
  </si>
  <si>
    <t>KINGS CHOICE BISCUIT TIN</t>
  </si>
  <si>
    <t>22115</t>
  </si>
  <si>
    <t>METAL SIGN EMPIRE TEA</t>
  </si>
  <si>
    <t>536423</t>
  </si>
  <si>
    <t>536425</t>
  </si>
  <si>
    <t>22585</t>
  </si>
  <si>
    <t>PACK OF 6 BIRDY GIFT TAGS</t>
  </si>
  <si>
    <t>21556</t>
  </si>
  <si>
    <t>CERAMIC STRAWBERRY MONEY BOX</t>
  </si>
  <si>
    <t>22645</t>
  </si>
  <si>
    <t>CERAMIC HEART FAIRY CAKE MONEY BANK</t>
  </si>
  <si>
    <t>22650</t>
  </si>
  <si>
    <t>CERAMIC PIRATE CHEST MONEY BANK</t>
  </si>
  <si>
    <t>22508</t>
  </si>
  <si>
    <t>DOORSTOP RETROSPOT HEART</t>
  </si>
  <si>
    <t>22511</t>
  </si>
  <si>
    <t>RETROSPOT BABUSHKA DOORSTOP</t>
  </si>
  <si>
    <t>22829</t>
  </si>
  <si>
    <t>SWEETHEART WIRE WALL TIDY</t>
  </si>
  <si>
    <t>536437</t>
  </si>
  <si>
    <t>21154</t>
  </si>
  <si>
    <t>RED RETROSPOT OVEN GLOVE</t>
  </si>
  <si>
    <t>17021</t>
  </si>
  <si>
    <t>NAMASTE SWAGAT INCENSE</t>
  </si>
  <si>
    <t>22059</t>
  </si>
  <si>
    <t>CERAMIC STRAWBERRY DESIGN MUG</t>
  </si>
  <si>
    <t>84678</t>
  </si>
  <si>
    <t>CLASSICAL ROSE SMALL VASE</t>
  </si>
  <si>
    <t>536446</t>
  </si>
  <si>
    <t>85172</t>
  </si>
  <si>
    <t>HYACINTH BULB T-LIGHT CANDLES</t>
  </si>
  <si>
    <t>22142</t>
  </si>
  <si>
    <t>CHRISTMAS CRAFT WHITE FAIRY</t>
  </si>
  <si>
    <t>21591</t>
  </si>
  <si>
    <t>COSY HOUR CIGAR BOX MATCHES</t>
  </si>
  <si>
    <t>22480</t>
  </si>
  <si>
    <t>RED TEA TOWEL CLASSIC DESIGN</t>
  </si>
  <si>
    <t>22294</t>
  </si>
  <si>
    <t>HEART FILIGREE DOVE  SMALL</t>
  </si>
  <si>
    <t>21156</t>
  </si>
  <si>
    <t>RETROSPOT CHILDRENS APRON</t>
  </si>
  <si>
    <t>10133</t>
  </si>
  <si>
    <t>COLOURING PENCILS BROWN TUBE</t>
  </si>
  <si>
    <t>72800E</t>
  </si>
  <si>
    <t>4 IVORY DINNER CANDLES SILVER FLOCK</t>
  </si>
  <si>
    <t>84836</t>
  </si>
  <si>
    <t>ZINC METAL HEART DECORATION</t>
  </si>
  <si>
    <t>20774</t>
  </si>
  <si>
    <t>GREEN FERN NOTEBOOK</t>
  </si>
  <si>
    <t>20773</t>
  </si>
  <si>
    <t>BLUE PAISLEY NOTEBOOK</t>
  </si>
  <si>
    <t>20777</t>
  </si>
  <si>
    <t>CHRYSANTHEMUM NOTEBOOK</t>
  </si>
  <si>
    <t>16016</t>
  </si>
  <si>
    <t>LARGE CHINESE STYLE SCISSOR</t>
  </si>
  <si>
    <t>16014</t>
  </si>
  <si>
    <t>SMALL CHINESE STYLE SCISSOR</t>
  </si>
  <si>
    <t>21651</t>
  </si>
  <si>
    <t>HANGING GLASS ETCHED TEALIGHT</t>
  </si>
  <si>
    <t>22618</t>
  </si>
  <si>
    <t>COOKING SET RETROSPOT</t>
  </si>
  <si>
    <t>21586</t>
  </si>
  <si>
    <t>KINGS CHOICE GIANT TUBE MATCHES</t>
  </si>
  <si>
    <t>22152</t>
  </si>
  <si>
    <t>PLACE SETTING WHITE STAR</t>
  </si>
  <si>
    <t>84754</t>
  </si>
  <si>
    <t>S/15 SILVER GLASS BAUBLES IN BAG</t>
  </si>
  <si>
    <t>536460</t>
  </si>
  <si>
    <t>22670</t>
  </si>
  <si>
    <t>FRENCH WC SIGN BLUE METAL</t>
  </si>
  <si>
    <t>84849B</t>
  </si>
  <si>
    <t>FAIRY SOAP SOAP HOLDER</t>
  </si>
  <si>
    <t>22927</t>
  </si>
  <si>
    <t>GREEN GIANT GARDEN THERMOMETER</t>
  </si>
  <si>
    <t>22925</t>
  </si>
  <si>
    <t>BLUE GIANT GARDEN THERMOMETER</t>
  </si>
  <si>
    <t>21259</t>
  </si>
  <si>
    <t>VICTORIAN SEWING BOX SMALL</t>
  </si>
  <si>
    <t>21257</t>
  </si>
  <si>
    <t>VICTORIAN SEWING BOX MEDIUM</t>
  </si>
  <si>
    <t>21121</t>
  </si>
  <si>
    <t>SET/10 RED POLKADOT PARTY CANDLES</t>
  </si>
  <si>
    <t>536463</t>
  </si>
  <si>
    <t>82552</t>
  </si>
  <si>
    <t>WASHROOM METAL SIGN</t>
  </si>
  <si>
    <t>536464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</si>
  <si>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</si>
  <si>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</si>
  <si>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</si>
  <si>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</si>
  <si>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</si>
  <si>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</si>
  <si>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</si>
  <si>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</si>
  <si>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</si>
  <si>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</si>
  <si>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</si>
  <si>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</si>
  <si>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</si>
  <si>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</si>
  <si>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</si>
  <si>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</si>
  <si>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22737</t>
  </si>
  <si>
    <t>RIBBON REEL CHRISTMAS PRESENT</t>
  </si>
  <si>
    <t>21260</t>
  </si>
  <si>
    <t>FIRST AID TIN</t>
  </si>
  <si>
    <t>22744</t>
  </si>
  <si>
    <t>MAKE YOUR OWN MONSOON CARD KIT</t>
  </si>
  <si>
    <t>21985</t>
  </si>
  <si>
    <t>PACK OF 12 HEARTS DESIGN TISSUES</t>
  </si>
  <si>
    <t>22295</t>
  </si>
  <si>
    <t>HEART FILIGREE DOVE LARGE</t>
  </si>
  <si>
    <t>16258A</t>
  </si>
  <si>
    <t>SWIRLY CIRCULAR RUBBERS IN BAG</t>
  </si>
  <si>
    <t>21992</t>
  </si>
  <si>
    <t>VINTAGE PAISLEY STATIONERY SET</t>
  </si>
  <si>
    <t>21124</t>
  </si>
  <si>
    <t>SET/10 BLUE POLKADOT PARTY CANDLES</t>
  </si>
  <si>
    <t>22735</t>
  </si>
  <si>
    <t>RIBBON REEL SOCKS AND MITTENS</t>
  </si>
  <si>
    <t>22945</t>
  </si>
  <si>
    <t>CHRISTMAS METAL TAGS ASSORTED</t>
  </si>
  <si>
    <t>21816</t>
  </si>
  <si>
    <t>CHRISTMAS TREE T-LIGHT HOLDER</t>
  </si>
  <si>
    <t>21815</t>
  </si>
  <si>
    <t>STAR  T-LIGHT HOLDER</t>
  </si>
  <si>
    <t>21814</t>
  </si>
  <si>
    <t>HEART T-LIGHT HOLDER</t>
  </si>
  <si>
    <t>10125</t>
  </si>
  <si>
    <t>MINI FUNKY DESIGN TAPES</t>
  </si>
  <si>
    <t>22573</t>
  </si>
  <si>
    <t>STAR WOODEN CHRISTMAS DECORATION</t>
  </si>
  <si>
    <t>22577</t>
  </si>
  <si>
    <t>WOODEN HEART CHRISTMAS SCANDINAVIAN</t>
  </si>
  <si>
    <t>22603</t>
  </si>
  <si>
    <t>CHRISTMAS RETROSPOT TREE WOOD</t>
  </si>
  <si>
    <t>20878</t>
  </si>
  <si>
    <t>SET/9 CHRISTMAS T-LIGHTS SCENTED</t>
  </si>
  <si>
    <t>20866</t>
  </si>
  <si>
    <t>BLUE ROSE FABRIC MIRROR</t>
  </si>
  <si>
    <t>85095</t>
  </si>
  <si>
    <t>THREE CANVAS LUGGAGE TAGS</t>
  </si>
  <si>
    <t>22333</t>
  </si>
  <si>
    <t>RETROSPOT PARTY BAG + STICKER SET</t>
  </si>
  <si>
    <t>21584</t>
  </si>
  <si>
    <t>RETROSPOT SMALL TUBE MATCHES</t>
  </si>
  <si>
    <t>22731</t>
  </si>
  <si>
    <t>3D CHRISTMAS STAMPS STICKERS</t>
  </si>
  <si>
    <t>22956</t>
  </si>
  <si>
    <t>36 FOIL HEART CAKE CASES</t>
  </si>
  <si>
    <t>22582</t>
  </si>
  <si>
    <t>PACK OF 6 SWEETIE GIFT BOXES</t>
  </si>
  <si>
    <t>85231B</t>
  </si>
  <si>
    <t>CINAMMON SET OF 9 T-LIGHTS</t>
  </si>
  <si>
    <t>85231G</t>
  </si>
  <si>
    <t>ORANGE SCENTED SET/9 T-LIGHTS</t>
  </si>
  <si>
    <t>22082</t>
  </si>
  <si>
    <t>RIBBON REEL STRIPES DESIGN</t>
  </si>
  <si>
    <t>22500</t>
  </si>
  <si>
    <t>SET OF 2 TINS JARDIN DE PROVENCE</t>
  </si>
  <si>
    <t>22742</t>
  </si>
  <si>
    <t>MAKE YOUR OWN PLAYTIME CARD KIT</t>
  </si>
  <si>
    <t>21329</t>
  </si>
  <si>
    <t>DINOSAURS  WRITING SET</t>
  </si>
  <si>
    <t>21327</t>
  </si>
  <si>
    <t>SKULLS WRITING SET</t>
  </si>
  <si>
    <t>48173C</t>
  </si>
  <si>
    <t>DOORMAT BLACK FLOCK</t>
  </si>
  <si>
    <t>72818</t>
  </si>
  <si>
    <t>CHRISTMAS DECOUPAGE CANDLE</t>
  </si>
  <si>
    <t>22312</t>
  </si>
  <si>
    <t>OFFICE MUG WARMER POLKADOT</t>
  </si>
  <si>
    <t>536466</t>
  </si>
  <si>
    <t>536477</t>
  </si>
  <si>
    <t>20979</t>
  </si>
  <si>
    <t>36 PENCILS TUBE RED RETROSPOT</t>
  </si>
  <si>
    <t>20977</t>
  </si>
  <si>
    <t>36 PENCILS TUBE WOODLAND</t>
  </si>
  <si>
    <t>22571</t>
  </si>
  <si>
    <t>ROCKING HORSE RED CHRISTMAS</t>
  </si>
  <si>
    <t>536488</t>
  </si>
  <si>
    <t>47563A</t>
  </si>
  <si>
    <t>RETRO LONGBOARD IRONING BOARD COVER</t>
  </si>
  <si>
    <t>84558A</t>
  </si>
  <si>
    <t>3D DOG PICTURE PLAYING CARDS</t>
  </si>
  <si>
    <t>21577</t>
  </si>
  <si>
    <t>SAVE THE PLANET COTTON TOTE BAG</t>
  </si>
  <si>
    <t>22651</t>
  </si>
  <si>
    <t>GENTLEMAN SHIRT REPAIR KIT</t>
  </si>
  <si>
    <t>22713</t>
  </si>
  <si>
    <t>CARD I LOVE LONDON</t>
  </si>
  <si>
    <t>21370</t>
  </si>
  <si>
    <t>MIRRORED WALL ART FOXY</t>
  </si>
  <si>
    <t>21367</t>
  </si>
  <si>
    <t>MIRRORED WALL ART GENTS</t>
  </si>
  <si>
    <t>22376</t>
  </si>
  <si>
    <t>AIRLINE BAG VINTAGE JET SET WHITE</t>
  </si>
  <si>
    <t>21895</t>
  </si>
  <si>
    <t>POTTING SHED SOW 'N' GROW SET</t>
  </si>
  <si>
    <t>22372</t>
  </si>
  <si>
    <t>AIRLINE BAG VINTAGE WORLD CHAMPION</t>
  </si>
  <si>
    <t>21190</t>
  </si>
  <si>
    <t>PINK HEARTS PAPER GARLAND</t>
  </si>
  <si>
    <t>21894</t>
  </si>
  <si>
    <t>POTTING SHED SEED ENVELOPES</t>
  </si>
  <si>
    <t>70007</t>
  </si>
  <si>
    <t>HI TEC ALPINE HAND WARMER</t>
  </si>
  <si>
    <t>536500</t>
  </si>
  <si>
    <t>46000M</t>
  </si>
  <si>
    <t>POLYESTER FILLER PAD 45x45cm</t>
  </si>
  <si>
    <t>22712</t>
  </si>
  <si>
    <t>CARD DOLLY GIRL</t>
  </si>
  <si>
    <t>22983</t>
  </si>
  <si>
    <t>CARD BILLBOARD FONT</t>
  </si>
  <si>
    <t>22024</t>
  </si>
  <si>
    <t>RAINY LADIES BIRTHDAY CARD</t>
  </si>
  <si>
    <t>21488</t>
  </si>
  <si>
    <t>RED WHITE SCARF  HOT WATER BOTTLE</t>
  </si>
  <si>
    <t>22895</t>
  </si>
  <si>
    <t>SET OF 2 TEA TOWELS APPLE AND PEARS</t>
  </si>
  <si>
    <t>536502</t>
  </si>
  <si>
    <t>22784</t>
  </si>
  <si>
    <t>LANTERN CREAM GAZEBO</t>
  </si>
  <si>
    <t>21441</t>
  </si>
  <si>
    <t>BLUE BIRDHOUSE DECORATION</t>
  </si>
  <si>
    <t>536508</t>
  </si>
  <si>
    <t>84947</t>
  </si>
  <si>
    <t>ANTIQUE SILVER TEA GLASS ENGRAVED</t>
  </si>
  <si>
    <t>C536506</t>
  </si>
  <si>
    <t>536514</t>
  </si>
  <si>
    <t>22485</t>
  </si>
  <si>
    <t>SET OF 2 WOODEN MARKET CRATES</t>
  </si>
  <si>
    <t>536520</t>
  </si>
  <si>
    <t>21794</t>
  </si>
  <si>
    <t>CLASSIC FRENCH STYLE BASKET NATURAL</t>
  </si>
  <si>
    <t>20707</t>
  </si>
  <si>
    <t>CRAZY DAISY HEART DECORATION</t>
  </si>
  <si>
    <t>22588</t>
  </si>
  <si>
    <t>CARD HOLDER GINGHAM HEART</t>
  </si>
  <si>
    <t>21292</t>
  </si>
  <si>
    <t>SMALL STRIPES CHOCOLATE GIFT BAG</t>
  </si>
  <si>
    <t>22760</t>
  </si>
  <si>
    <t>TRAY, BREAKFAST IN BED</t>
  </si>
  <si>
    <t>22107</t>
  </si>
  <si>
    <t>PIZZA PLATE IN BOX</t>
  </si>
  <si>
    <t>21486</t>
  </si>
  <si>
    <t>PINK HEART DOTS HOT WATER BOTTLE</t>
  </si>
  <si>
    <t>22151</t>
  </si>
  <si>
    <t>PLACE SETTING WHITE HEART</t>
  </si>
  <si>
    <t>22643</t>
  </si>
  <si>
    <t>SET OF 4 NAPKIN CHARMS LEAVES</t>
  </si>
  <si>
    <t>22642</t>
  </si>
  <si>
    <t>SET OF 4 NAPKIN CHARMS STARS</t>
  </si>
  <si>
    <t>22604</t>
  </si>
  <si>
    <t>SET OF 4 NAPKIN CHARMS CUTLERY</t>
  </si>
  <si>
    <t>22099</t>
  </si>
  <si>
    <t>CARAVAN SQUARE TISSUE BOX</t>
  </si>
  <si>
    <t>22653</t>
  </si>
  <si>
    <t>BUTTON BOX</t>
  </si>
  <si>
    <t>22906</t>
  </si>
  <si>
    <t>12 MESSAGE CARDS WITH ENVELOPES</t>
  </si>
  <si>
    <t>22754</t>
  </si>
  <si>
    <t>SMALL RED BABUSHKA NOTEBOOK</t>
  </si>
  <si>
    <t>22919</t>
  </si>
  <si>
    <t>HERB MARKER MINT</t>
  </si>
  <si>
    <t>22917</t>
  </si>
  <si>
    <t>HERB MARKER ROSEMARY</t>
  </si>
  <si>
    <t>22920</t>
  </si>
  <si>
    <t>HERB MARKER BASIL</t>
  </si>
  <si>
    <t>22921</t>
  </si>
  <si>
    <t>HERB MARKER CHIVES</t>
  </si>
  <si>
    <t>22918</t>
  </si>
  <si>
    <t>HERB MARKER PARSLEY</t>
  </si>
  <si>
    <t>22916</t>
  </si>
  <si>
    <t>HERB MARKER THYME</t>
  </si>
  <si>
    <t>22575</t>
  </si>
  <si>
    <t>METAL MERRY CHRISTMAS WREATH</t>
  </si>
  <si>
    <t>21804</t>
  </si>
  <si>
    <t>WHITE CHRISTMAS GARLAND STARS TREES</t>
  </si>
  <si>
    <t>21588</t>
  </si>
  <si>
    <t>RETROSPOT GIANT TUBE MATCHES</t>
  </si>
  <si>
    <t>22955</t>
  </si>
  <si>
    <t>36 FOIL STAR CAKE CASES</t>
  </si>
  <si>
    <t>22583</t>
  </si>
  <si>
    <t>PACK OF 6 HANDBAG GIFT BOXES</t>
  </si>
  <si>
    <t>22241</t>
  </si>
  <si>
    <t>GARLAND WOODEN HAPPY EASTER</t>
  </si>
  <si>
    <t>22904</t>
  </si>
  <si>
    <t>CALENDAR PAPER CUT DESIGN</t>
  </si>
  <si>
    <t>22905</t>
  </si>
  <si>
    <t>CALENDAR IN SEASON DESIGN</t>
  </si>
  <si>
    <t>22092</t>
  </si>
  <si>
    <t>BLUE PAISLEY TISSUE BOX</t>
  </si>
  <si>
    <t>22096</t>
  </si>
  <si>
    <t>PINK PAISLEY SQUARE TISSUE BOX</t>
  </si>
  <si>
    <t>21358</t>
  </si>
  <si>
    <t>TOAST ITS - HAPPY BIRTHDAY</t>
  </si>
  <si>
    <t>GrossSales (column U) was overwritten by the old navigation panel; it has been restored as =IF(IsPositiveSale, LineValue, 0), which matches NetSales = GrossSales - ReversalValue on every row.</t>
  </si>
  <si>
    <t>Gross sales total £10,666,685 across 19,960 distinct eligible invoices; average order value is £534.40.</t>
  </si>
  <si>
    <t>3,922 distinct stock codes generated positive sales; units sold total 5,588,376.</t>
  </si>
  <si>
    <t>The top sales month is 2011-11 with £1,509,496 gross sales.</t>
  </si>
  <si>
    <t>Reversal value is estimated from absolute quantity × unit price for negative-quantity/cancellation candidates; net sales here are an estimate.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</si>
</sst>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$#,##0.00;[Red]\-\$#,##0.00"/>
    <numFmt numFmtId="165" formatCode="0.0%;[Red]\-0.0%"/>
    <numFmt numFmtId="166" formatCode="0.0%"/>
    <numFmt numFmtId="167" formatCode="dd\-mmm\-yyyy"/>
    <numFmt numFmtId="168" formatCode="0&quot;:00&quot;"/>
    <numFmt numFmtId="169" formatCode="dd\-mmm\-yyyy\ hh:mm"/>
    <numFmt numFmtId="170" formatCode="\$#,##0.00,,&quot;M&quot;"/>
    <numFmt numFmtId="171" formatCode="\$#,##0.0,&quot;K&quot;"/>
    <numFmt numFmtId="172" formatCode="\$#,##0"/>
    <numFmt numFmtId="173" formatCode="\£#,##0"/>
  </numFmts>
  <fonts count="22" x14ac:knownFonts="1">
    <font>
      <sz val="10"/>
      <name val="Arial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20"/>
      <color rgb="FFFFFFFF"/>
      <name val="Arial"/>
      <family val="2"/>
    </font>
    <font>
      <i/>
      <sz val="9"/>
      <color rgb="FF6B7280"/>
      <name val="Arial"/>
      <family val="2"/>
    </font>
    <font>
      <b/>
      <sz val="22"/>
      <color rgb="FF17365D"/>
      <name val="Arial"/>
      <family val="2"/>
    </font>
    <font>
      <i/>
      <sz val="8"/>
      <color rgb="FF5B6B7F"/>
      <name val="Arial"/>
      <family val="2"/>
    </font>
    <font>
      <b/>
      <sz val="11"/>
      <color rgb="FF232F3E"/>
      <name val="Arial"/>
      <family val="2"/>
    </font>
    <font>
      <b/>
      <sz val="11"/>
      <color rgb="FFFF9900"/>
      <name val="Arial"/>
      <family val="2"/>
    </font>
    <font>
      <sz val="10"/>
      <color rgb="FF1F2937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i/>
      <sz val="8"/>
      <color rgb="FF6B7280"/>
      <name val="Arial"/>
      <family val="2"/>
    </font>
    <font>
      <b/>
      <sz val="15"/>
      <color rgb="FF17365D"/>
      <name val="Arial"/>
      <family val="2"/>
    </font>
    <font>
      <b/>
      <sz val="10"/>
      <color rgb="FF232F3E"/>
      <name val="Arial"/>
      <family val="2"/>
    </font>
    <font>
      <sz val="9"/>
      <color rgb="FF000000"/>
      <name val="Arial"/>
      <family val="2"/>
    </font>
    <font>
      <b/>
      <sz val="24"/>
      <color rgb="FF17365D"/>
      <name val="Arial"/>
      <family val="2"/>
    </font>
    <font>
      <b/>
      <sz val="20"/>
      <color rgb="FF17365D"/>
      <name val="Arial"/>
      <family val="2"/>
    </font>
    <font>
      <b/>
      <sz val="10"/>
      <color rgb="FFFFFFFF"/>
      <name val="Aptos"/>
    </font>
    <font>
      <b/>
      <sz val="10"/>
      <color rgb="FFFFFFFF"/>
      <name val="Arial"/>
      <family val="2"/>
    </font>
    <font>
      <b/>
      <sz val="9"/>
      <color rgb="FF243142"/>
      <name val="Arial"/>
      <family val="2"/>
    </font>
    <font>
      <b/>
      <sz val="10"/>
      <color rgb="FF17365D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232F3E"/>
      </patternFill>
    </fill>
    <fill>
      <patternFill patternType="solid">
        <fgColor rgb="FF37475A"/>
      </patternFill>
    </fill>
    <fill>
      <patternFill patternType="solid">
        <fgColor rgb="FFFF9900"/>
      </patternFill>
    </fill>
    <fill>
      <patternFill patternType="solid">
        <fgColor rgb="FFF3F6FA"/>
      </patternFill>
    </fill>
    <fill>
      <patternFill patternType="solid">
        <fgColor rgb="FFEAF2F8"/>
      </patternFill>
    </fill>
    <fill>
      <patternFill patternType="solid">
        <fgColor rgb="FFFFF3DC"/>
      </patternFill>
    </fill>
    <fill>
      <patternFill patternType="solid">
        <fgColor rgb="FFF8FAFC"/>
      </patternFill>
    </fill>
    <fill>
      <patternFill patternType="solid">
        <fgColor rgb="FF146EB4"/>
      </patternFill>
    </fill>
    <fill>
      <patternFill patternType="solid">
        <fgColor rgb="FF243142"/>
      </patternFill>
    </fill>
    <fill>
      <patternFill patternType="solid">
        <fgColor rgb="FFFF9900"/>
      </patternFill>
    </fill>
    <fill>
      <patternFill patternType="solid">
        <fgColor rgb="FF34465A"/>
      </patternFill>
    </fill>
    <fill>
      <patternFill patternType="solid">
        <fgColor rgb="FFDCE6F1"/>
      </patternFill>
    </fill>
    <fill>
      <patternFill patternType="solid">
        <fgColor rgb="FF34455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ck">
        <color rgb="FFFF9900"/>
      </left>
      <right/>
      <top/>
      <bottom/>
      <diagonal/>
    </border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/>
      <right style="thick">
        <color rgb="FFFFFFFF"/>
      </right>
      <top/>
      <bottom style="medium">
        <color rgb="FFFF9900"/>
      </bottom>
      <diagonal/>
    </border>
    <border>
      <left/>
      <right/>
      <top/>
      <bottom style="thin">
        <color rgb="FFF5DDB0"/>
      </bottom>
      <diagonal/>
    </border>
    <border>
      <left/>
      <right/>
      <top/>
      <bottom style="thin">
        <color rgb="FFE5E7EB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 style="medium">
        <color rgb="FFFF9900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3"/>
  </cellStyleXfs>
  <cellXfs count="97">
    <xf numFmtId="0" fontId="0" fillId="0" borderId="0" xfId="0" applyBorder="1"/>
    <xf numFmtId="0" fontId="8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indent="1"/>
    </xf>
    <xf numFmtId="164" fontId="11" fillId="0" borderId="8" xfId="0" applyNumberFormat="1" applyFont="1" applyBorder="1" applyAlignment="1">
      <alignment horizontal="right" vertical="center"/>
    </xf>
    <xf numFmtId="3" fontId="11" fillId="0" borderId="8" xfId="0" applyNumberFormat="1" applyFont="1" applyBorder="1" applyAlignment="1">
      <alignment horizontal="right" vertical="center"/>
    </xf>
    <xf numFmtId="165" fontId="11" fillId="0" borderId="8" xfId="0" applyNumberFormat="1" applyFont="1" applyBorder="1" applyAlignment="1">
      <alignment horizontal="right" vertical="center"/>
    </xf>
    <xf numFmtId="0" fontId="11" fillId="8" borderId="8" xfId="0" applyFont="1" applyFill="1" applyBorder="1" applyAlignment="1">
      <alignment horizontal="left" vertical="center" indent="1"/>
    </xf>
    <xf numFmtId="164" fontId="11" fillId="8" borderId="8" xfId="0" applyNumberFormat="1" applyFont="1" applyFill="1" applyBorder="1" applyAlignment="1">
      <alignment horizontal="right" vertical="center"/>
    </xf>
    <xf numFmtId="3" fontId="11" fillId="8" borderId="8" xfId="0" applyNumberFormat="1" applyFont="1" applyFill="1" applyBorder="1" applyAlignment="1">
      <alignment horizontal="right" vertical="center"/>
    </xf>
    <xf numFmtId="165" fontId="11" fillId="8" borderId="8" xfId="0" applyNumberFormat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shrinkToFit="1"/>
    </xf>
    <xf numFmtId="0" fontId="2" fillId="3" borderId="0" xfId="0" applyFont="1" applyFill="1" applyBorder="1" applyAlignment="1">
      <alignment horizontal="center" vertical="center" wrapText="1"/>
    </xf>
    <xf numFmtId="10" fontId="11" fillId="0" borderId="8" xfId="0" applyNumberFormat="1" applyFont="1" applyBorder="1" applyAlignment="1">
      <alignment horizontal="right" vertical="center"/>
    </xf>
    <xf numFmtId="164" fontId="11" fillId="0" borderId="8" xfId="0" applyNumberFormat="1" applyFont="1" applyBorder="1"/>
    <xf numFmtId="166" fontId="11" fillId="0" borderId="8" xfId="0" applyNumberFormat="1" applyFont="1" applyBorder="1"/>
    <xf numFmtId="10" fontId="11" fillId="8" borderId="8" xfId="0" applyNumberFormat="1" applyFont="1" applyFill="1" applyBorder="1" applyAlignment="1">
      <alignment horizontal="right" vertical="center"/>
    </xf>
    <xf numFmtId="164" fontId="11" fillId="8" borderId="8" xfId="0" applyNumberFormat="1" applyFont="1" applyFill="1" applyBorder="1"/>
    <xf numFmtId="166" fontId="11" fillId="8" borderId="8" xfId="0" applyNumberFormat="1" applyFont="1" applyFill="1" applyBorder="1"/>
    <xf numFmtId="49" fontId="11" fillId="0" borderId="8" xfId="0" applyNumberFormat="1" applyFont="1" applyBorder="1" applyAlignment="1">
      <alignment horizontal="left" vertical="center" indent="1"/>
    </xf>
    <xf numFmtId="49" fontId="11" fillId="8" borderId="8" xfId="0" applyNumberFormat="1" applyFont="1" applyFill="1" applyBorder="1" applyAlignment="1">
      <alignment horizontal="left" vertical="center" indent="1"/>
    </xf>
    <xf numFmtId="1" fontId="11" fillId="0" borderId="8" xfId="0" applyNumberFormat="1" applyFont="1" applyBorder="1" applyAlignment="1">
      <alignment horizontal="center" vertical="center"/>
    </xf>
    <xf numFmtId="167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" fontId="11" fillId="8" borderId="8" xfId="0" applyNumberFormat="1" applyFont="1" applyFill="1" applyBorder="1" applyAlignment="1">
      <alignment horizontal="center" vertical="center"/>
    </xf>
    <xf numFmtId="167" fontId="11" fillId="8" borderId="8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166" fontId="11" fillId="0" borderId="8" xfId="0" applyNumberFormat="1" applyFont="1" applyBorder="1" applyAlignment="1">
      <alignment horizontal="right" vertical="center"/>
    </xf>
    <xf numFmtId="166" fontId="11" fillId="8" borderId="8" xfId="0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center" vertical="center"/>
    </xf>
    <xf numFmtId="168" fontId="11" fillId="0" borderId="8" xfId="0" applyNumberFormat="1" applyFont="1" applyBorder="1" applyAlignment="1">
      <alignment horizontal="center" vertical="center"/>
    </xf>
    <xf numFmtId="168" fontId="11" fillId="8" borderId="8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3" fontId="11" fillId="0" borderId="8" xfId="0" applyNumberFormat="1" applyFont="1" applyBorder="1"/>
    <xf numFmtId="0" fontId="14" fillId="0" borderId="8" xfId="0" applyFont="1" applyBorder="1" applyAlignment="1">
      <alignment horizontal="left" vertical="center" wrapText="1" indent="1"/>
    </xf>
    <xf numFmtId="0" fontId="11" fillId="0" borderId="8" xfId="0" applyFont="1" applyBorder="1" applyAlignment="1">
      <alignment horizontal="left" vertical="center" wrapText="1" indent="1"/>
    </xf>
    <xf numFmtId="0" fontId="14" fillId="8" borderId="8" xfId="0" applyFont="1" applyFill="1" applyBorder="1" applyAlignment="1">
      <alignment horizontal="left" vertical="center" wrapText="1" indent="1"/>
    </xf>
    <xf numFmtId="0" fontId="11" fillId="8" borderId="8" xfId="0" applyFont="1" applyFill="1" applyBorder="1" applyAlignment="1">
      <alignment horizontal="left" vertical="center" wrapText="1" indent="1"/>
    </xf>
    <xf numFmtId="0" fontId="15" fillId="0" borderId="0" xfId="0" applyFont="1" applyBorder="1"/>
    <xf numFmtId="169" fontId="15" fillId="0" borderId="0" xfId="0" applyNumberFormat="1" applyFont="1" applyBorder="1"/>
    <xf numFmtId="4" fontId="15" fillId="0" borderId="0" xfId="0" applyNumberFormat="1" applyFont="1" applyBorder="1"/>
    <xf numFmtId="0" fontId="15" fillId="8" borderId="0" xfId="0" applyFont="1" applyFill="1" applyBorder="1"/>
    <xf numFmtId="169" fontId="15" fillId="8" borderId="0" xfId="0" applyNumberFormat="1" applyFont="1" applyFill="1" applyBorder="1"/>
    <xf numFmtId="4" fontId="15" fillId="8" borderId="0" xfId="0" applyNumberFormat="1" applyFont="1" applyFill="1" applyBorder="1"/>
    <xf numFmtId="0" fontId="18" fillId="11" borderId="1" xfId="0" applyFont="1" applyFill="1" applyBorder="1" applyAlignment="1">
      <alignment vertical="center" indent="1"/>
    </xf>
    <xf numFmtId="0" fontId="18" fillId="12" borderId="1" xfId="0" applyFont="1" applyFill="1" applyBorder="1" applyAlignment="1">
      <alignment vertical="center" indent="1"/>
    </xf>
    <xf numFmtId="0" fontId="18" fillId="12" borderId="0" xfId="0" applyFont="1" applyFill="1" applyBorder="1" applyAlignment="1">
      <alignment vertical="center" indent="1"/>
    </xf>
    <xf numFmtId="0" fontId="20" fillId="13" borderId="0" xfId="0" applyFont="1" applyFill="1" applyBorder="1"/>
    <xf numFmtId="173" fontId="0" fillId="0" borderId="0" xfId="0" applyNumberFormat="1" applyBorder="1"/>
    <xf numFmtId="0" fontId="18" fillId="10" borderId="1" xfId="0" applyFont="1" applyFill="1" applyBorder="1" applyAlignment="1">
      <alignment vertical="center" indent="1"/>
    </xf>
    <xf numFmtId="0" fontId="18" fillId="11" borderId="0" xfId="0" applyFont="1" applyFill="1" applyBorder="1" applyAlignment="1">
      <alignment vertical="center" indent="1"/>
    </xf>
    <xf numFmtId="0" fontId="18" fillId="14" borderId="1" xfId="0" applyFont="1" applyFill="1" applyBorder="1" applyAlignment="1">
      <alignment vertical="center" indent="1"/>
    </xf>
    <xf numFmtId="0" fontId="2" fillId="2" borderId="11" xfId="0" applyFont="1" applyFill="1" applyBorder="1" applyAlignment="1">
      <alignment horizontal="center" vertical="center" wrapText="1"/>
    </xf>
    <xf numFmtId="0" fontId="19" fillId="10" borderId="0" xfId="0" applyFont="1" applyFill="1" applyBorder="1"/>
    <xf numFmtId="0" fontId="0" fillId="0" borderId="0" xfId="0" applyBorder="1"/>
    <xf numFmtId="170" fontId="5" fillId="6" borderId="9" xfId="0" applyNumberFormat="1" applyFont="1" applyFill="1" applyBorder="1" applyAlignment="1">
      <alignment horizontal="center" vertical="center" shrinkToFit="1"/>
    </xf>
    <xf numFmtId="0" fontId="9" fillId="7" borderId="7" xfId="0" applyFont="1" applyFill="1" applyBorder="1" applyAlignment="1">
      <alignment horizontal="left" vertical="center" indent="1"/>
    </xf>
    <xf numFmtId="0" fontId="5" fillId="6" borderId="9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7" fillId="4" borderId="3" xfId="0" applyFont="1" applyFill="1" applyAlignment="1">
      <alignment horizontal="left" vertical="center" indent="1"/>
    </xf>
    <xf numFmtId="49" fontId="5" fillId="6" borderId="9" xfId="0" applyNumberFormat="1" applyFont="1" applyFill="1" applyBorder="1" applyAlignment="1">
      <alignment horizontal="center" vertical="center" shrinkToFit="1"/>
    </xf>
    <xf numFmtId="0" fontId="10" fillId="3" borderId="3" xfId="0" applyFont="1" applyFill="1" applyAlignment="1">
      <alignment horizontal="left" vertical="center" indent="1"/>
    </xf>
    <xf numFmtId="164" fontId="5" fillId="6" borderId="9" xfId="0" applyNumberFormat="1" applyFont="1" applyFill="1" applyBorder="1" applyAlignment="1">
      <alignment horizontal="center" vertical="center" shrinkToFit="1"/>
    </xf>
    <xf numFmtId="0" fontId="1" fillId="2" borderId="3" xfId="0" applyFont="1" applyFill="1" applyAlignment="1">
      <alignment horizontal="center" vertical="center"/>
    </xf>
    <xf numFmtId="0" fontId="0" fillId="0" borderId="3" xfId="0"/>
    <xf numFmtId="0" fontId="2" fillId="2" borderId="9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170" fontId="21" fillId="6" borderId="4" xfId="0" applyNumberFormat="1" applyFont="1" applyFill="1" applyBorder="1" applyAlignment="1">
      <alignment horizontal="center" vertical="center" shrinkToFit="1"/>
    </xf>
    <xf numFmtId="170" fontId="21" fillId="6" borderId="3" xfId="0" applyNumberFormat="1" applyFont="1" applyFill="1" applyAlignment="1">
      <alignment horizontal="center" vertical="center" shrinkToFit="1"/>
    </xf>
    <xf numFmtId="0" fontId="3" fillId="2" borderId="3" xfId="0" applyFont="1" applyFill="1" applyAlignment="1">
      <alignment horizontal="center" vertical="center"/>
    </xf>
    <xf numFmtId="0" fontId="0" fillId="0" borderId="0" xfId="0" applyBorder="1" applyAlignment="1">
      <alignment horizontal="center"/>
    </xf>
    <xf numFmtId="3" fontId="5" fillId="6" borderId="9" xfId="0" applyNumberFormat="1" applyFont="1" applyFill="1" applyBorder="1" applyAlignment="1">
      <alignment horizontal="center" vertical="center" shrinkToFit="1"/>
    </xf>
    <xf numFmtId="3" fontId="17" fillId="6" borderId="9" xfId="0" applyNumberFormat="1" applyFont="1" applyFill="1" applyBorder="1" applyAlignment="1">
      <alignment horizontal="center" vertical="center" shrinkToFit="1"/>
    </xf>
    <xf numFmtId="0" fontId="0" fillId="0" borderId="5" xfId="0" applyBorder="1"/>
    <xf numFmtId="0" fontId="0" fillId="0" borderId="4" xfId="0" applyBorder="1"/>
    <xf numFmtId="166" fontId="16" fillId="6" borderId="9" xfId="0" applyNumberFormat="1" applyFont="1" applyFill="1" applyBorder="1" applyAlignment="1">
      <alignment horizontal="center" vertical="center" shrinkToFit="1"/>
    </xf>
    <xf numFmtId="0" fontId="0" fillId="0" borderId="6" xfId="0" applyBorder="1"/>
    <xf numFmtId="170" fontId="16" fillId="6" borderId="9" xfId="0" applyNumberFormat="1" applyFont="1" applyFill="1" applyBorder="1" applyAlignment="1">
      <alignment horizontal="center" vertical="center" shrinkToFit="1"/>
    </xf>
    <xf numFmtId="164" fontId="16" fillId="6" borderId="9" xfId="0" applyNumberFormat="1" applyFont="1" applyFill="1" applyBorder="1" applyAlignment="1">
      <alignment horizontal="center" vertical="center" shrinkToFit="1"/>
    </xf>
    <xf numFmtId="171" fontId="17" fillId="6" borderId="9" xfId="0" applyNumberFormat="1" applyFont="1" applyFill="1" applyBorder="1" applyAlignment="1">
      <alignment horizontal="center" vertical="center" shrinkToFit="1"/>
    </xf>
    <xf numFmtId="171" fontId="5" fillId="6" borderId="9" xfId="0" applyNumberFormat="1" applyFont="1" applyFill="1" applyBorder="1" applyAlignment="1">
      <alignment horizontal="center" vertical="center" shrinkToFit="1"/>
    </xf>
    <xf numFmtId="0" fontId="0" fillId="0" borderId="7" xfId="0" applyBorder="1"/>
    <xf numFmtId="0" fontId="12" fillId="0" borderId="3" xfId="0" applyFont="1" applyAlignment="1">
      <alignment horizontal="left" vertical="top" wrapText="1"/>
    </xf>
    <xf numFmtId="0" fontId="10" fillId="9" borderId="3" xfId="0" applyFont="1" applyFill="1" applyAlignment="1">
      <alignment horizontal="left" vertical="center" indent="1"/>
    </xf>
    <xf numFmtId="0" fontId="0" fillId="0" borderId="9" xfId="0" applyBorder="1"/>
    <xf numFmtId="166" fontId="5" fillId="6" borderId="9" xfId="0" applyNumberFormat="1" applyFont="1" applyFill="1" applyBorder="1" applyAlignment="1">
      <alignment horizontal="center" vertical="center" shrinkToFit="1"/>
    </xf>
    <xf numFmtId="49" fontId="13" fillId="6" borderId="9" xfId="0" applyNumberFormat="1" applyFont="1" applyFill="1" applyBorder="1" applyAlignment="1">
      <alignment horizontal="center" vertical="center" shrinkToFit="1"/>
    </xf>
    <xf numFmtId="172" fontId="5" fillId="6" borderId="9" xfId="0" applyNumberFormat="1" applyFont="1" applyFill="1" applyBorder="1" applyAlignment="1">
      <alignment horizontal="center" vertical="center" shrinkToFit="1"/>
    </xf>
    <xf numFmtId="168" fontId="5" fillId="6" borderId="9" xfId="0" applyNumberFormat="1" applyFont="1" applyFill="1" applyBorder="1" applyAlignment="1">
      <alignment horizontal="center" vertical="center" shrinkToFit="1"/>
    </xf>
    <xf numFmtId="0" fontId="3" fillId="2" borderId="3" xfId="0" applyFont="1" applyFill="1" applyAlignment="1">
      <alignment horizontal="left" vertical="center"/>
    </xf>
    <xf numFmtId="0" fontId="0" fillId="0" borderId="0" xfId="0" applyBorder="1" applyAlignment="1">
      <alignment horizontal="left"/>
    </xf>
    <xf numFmtId="0" fontId="6" fillId="6" borderId="4" xfId="0" applyFont="1" applyFill="1" applyBorder="1" applyAlignment="1">
      <alignment horizontal="center" vertical="center" shrinkToFit="1"/>
    </xf>
    <xf numFmtId="0" fontId="6" fillId="6" borderId="5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46EB4"/>
      <color rgb="FFEAF3F8"/>
      <color rgb="FF3445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Monthly Gross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Analysis'!$E$51</c:f>
              <c:strCache>
                <c:ptCount val="1"/>
                <c:pt idx="0">
                  <c:v>Gross Sales</c:v>
                </c:pt>
              </c:strCache>
            </c:strRef>
          </c:tx>
          <c:spPr>
            <a:ln w="28575">
              <a:solidFill>
                <a:srgbClr val="FF99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9900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cat>
            <c:strRef>
              <c:f>'Monthly Analysis'!$D$52:$D$64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'Monthly Analysis'!$E$52:$E$64</c:f>
              <c:numCache>
                <c:formatCode>\$#,##0.00;[Red]\-\$#,##0.00</c:formatCode>
                <c:ptCount val="13"/>
                <c:pt idx="0">
                  <c:v>823746.14</c:v>
                </c:pt>
                <c:pt idx="1">
                  <c:v>691364.56</c:v>
                </c:pt>
                <c:pt idx="2">
                  <c:v>523631.89</c:v>
                </c:pt>
                <c:pt idx="3">
                  <c:v>717639.36</c:v>
                </c:pt>
                <c:pt idx="4">
                  <c:v>537808.62100000004</c:v>
                </c:pt>
                <c:pt idx="5">
                  <c:v>770536.02</c:v>
                </c:pt>
                <c:pt idx="6">
                  <c:v>761739.9</c:v>
                </c:pt>
                <c:pt idx="7">
                  <c:v>719221.19099999999</c:v>
                </c:pt>
                <c:pt idx="8">
                  <c:v>759138.38</c:v>
                </c:pt>
                <c:pt idx="9">
                  <c:v>1058590.172</c:v>
                </c:pt>
                <c:pt idx="10">
                  <c:v>1154979.3</c:v>
                </c:pt>
                <c:pt idx="11">
                  <c:v>1509496.33</c:v>
                </c:pt>
                <c:pt idx="12">
                  <c:v>638792.68000000005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C4-B64D-8438-295525A30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Gross Sales Share — Top 5 vs Rest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9753806738991739"/>
          <c:y val="0.1032433138889684"/>
          <c:w val="0.43674821822613957"/>
          <c:h val="0.67393748777154894"/>
        </c:manualLayout>
      </c:layout>
      <c:doughnutChart>
        <c:varyColors val="1"/>
        <c:ser>
          <c:idx val="0"/>
          <c:order val="0"/>
          <c:tx>
            <c:strRef>
              <c:f>'Country Analysis'!$M$51</c:f>
              <c:strCache>
                <c:ptCount val="1"/>
                <c:pt idx="0">
                  <c:v>Gross Sales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32F3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98-5E44-9267-8120ACC2ECD3}"/>
              </c:ext>
            </c:extLst>
          </c:dPt>
          <c:dPt>
            <c:idx val="1"/>
            <c:bubble3D val="0"/>
            <c:spPr>
              <a:solidFill>
                <a:srgbClr val="FF990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98-5E44-9267-8120ACC2ECD3}"/>
              </c:ext>
            </c:extLst>
          </c:dPt>
          <c:dPt>
            <c:idx val="2"/>
            <c:bubble3D val="0"/>
            <c:spPr>
              <a:solidFill>
                <a:srgbClr val="146EB4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298-5E44-9267-8120ACC2ECD3}"/>
              </c:ext>
            </c:extLst>
          </c:dPt>
          <c:dPt>
            <c:idx val="3"/>
            <c:bubble3D val="0"/>
            <c:spPr>
              <a:solidFill>
                <a:srgbClr val="2A9D8F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298-5E44-9267-8120ACC2ECD3}"/>
              </c:ext>
            </c:extLst>
          </c:dPt>
          <c:dPt>
            <c:idx val="4"/>
            <c:bubble3D val="0"/>
            <c:spPr>
              <a:solidFill>
                <a:srgbClr val="8E9AAF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298-5E44-9267-8120ACC2ECD3}"/>
              </c:ext>
            </c:extLst>
          </c:dPt>
          <c:dPt>
            <c:idx val="5"/>
            <c:bubble3D val="0"/>
            <c:spPr>
              <a:solidFill>
                <a:srgbClr val="C9D1DC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298-5E44-9267-8120ACC2ECD3}"/>
              </c:ext>
            </c:extLst>
          </c:dPt>
          <c:cat>
            <c:strRef>
              <c:f>'Country Analysis'!$L$52:$L$57</c:f>
              <c:strCache>
                <c:ptCount val="6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All other countries</c:v>
                </c:pt>
              </c:strCache>
            </c:strRef>
          </c:cat>
          <c:val>
            <c:numRef>
              <c:f>'Country Analysis'!$M$52:$M$57</c:f>
              <c:numCache>
                <c:formatCode>\$#,##0.00;[Red]\-\$#,##0.00</c:formatCode>
                <c:ptCount val="6"/>
                <c:pt idx="0">
                  <c:v>9025222.0840000007</c:v>
                </c:pt>
                <c:pt idx="1">
                  <c:v>285446.34000000003</c:v>
                </c:pt>
                <c:pt idx="2">
                  <c:v>283453.96000000002</c:v>
                </c:pt>
                <c:pt idx="3">
                  <c:v>228867.14</c:v>
                </c:pt>
                <c:pt idx="4">
                  <c:v>209715.11</c:v>
                </c:pt>
                <c:pt idx="5">
                  <c:v>633979.91000000015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298-5E44-9267-8120ACC2E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</c:plotArea>
    <c:legend>
      <c:legendPos val="b"/>
      <c:overlay val="1"/>
      <c:txPr>
        <a:bodyPr/>
        <a:lstStyle/>
        <a:p>
          <a:pPr>
            <a:defRPr sz="900" b="0">
              <a:solidFill>
                <a:srgbClr val="404B5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Top 10 Countries by Gross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'Country Analysis'!$E$51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FF9900"/>
            </a:solidFill>
            <a:ln>
              <a:noFill/>
              <a:prstDash val="solid"/>
            </a:ln>
          </c:spPr>
          <c:invertIfNegative val="0"/>
          <c:cat>
            <c:strRef>
              <c:f>'Country Analysis'!$D$52:$D$61</c:f>
              <c:strCache>
                <c:ptCount val="1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Belgium</c:v>
                </c:pt>
                <c:pt idx="9">
                  <c:v>Sweden</c:v>
                </c:pt>
              </c:strCache>
            </c:strRef>
          </c:cat>
          <c:val>
            <c:numRef>
              <c:f>'Country Analysis'!$E$52:$E$61</c:f>
              <c:numCache>
                <c:formatCode>\$#,##0.00;[Red]\-\$#,##0.00</c:formatCode>
                <c:ptCount val="10"/>
                <c:pt idx="0">
                  <c:v>9025222.0840000007</c:v>
                </c:pt>
                <c:pt idx="1">
                  <c:v>285446.34000000003</c:v>
                </c:pt>
                <c:pt idx="2">
                  <c:v>283453.96000000002</c:v>
                </c:pt>
                <c:pt idx="3">
                  <c:v>228867.14</c:v>
                </c:pt>
                <c:pt idx="4">
                  <c:v>209715.11</c:v>
                </c:pt>
                <c:pt idx="5">
                  <c:v>138521.31</c:v>
                </c:pt>
                <c:pt idx="6">
                  <c:v>61577.11</c:v>
                </c:pt>
                <c:pt idx="7">
                  <c:v>57089.9</c:v>
                </c:pt>
                <c:pt idx="8">
                  <c:v>41196.339999999997</c:v>
                </c:pt>
                <c:pt idx="9">
                  <c:v>38378.33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B-344B-8065-67933CFB5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.0,,&quot;M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Top 10 Products by Gross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'Product Analysis'!$F$51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146EB4"/>
            </a:solidFill>
            <a:ln>
              <a:noFill/>
              <a:prstDash val="solid"/>
            </a:ln>
          </c:spPr>
          <c:invertIfNegative val="0"/>
          <c:cat>
            <c:strRef>
              <c:f>'Product Analysis'!$E$52:$E$61</c:f>
              <c:strCache>
                <c:ptCount val="10"/>
                <c:pt idx="0">
                  <c:v>DOTCOM POSTAGE</c:v>
                </c:pt>
                <c:pt idx="1">
                  <c:v>REGENCY CAKESTAND 3 TIER</c:v>
                </c:pt>
                <c:pt idx="2">
                  <c:v>PAPER CRAFT , LITTLE BIRDIE</c:v>
                </c:pt>
                <c:pt idx="3">
                  <c:v>WHITE HANGING HEART T-LIGHT HOLDER</c:v>
                </c:pt>
                <c:pt idx="4">
                  <c:v>PARTY BUNTING</c:v>
                </c:pt>
                <c:pt idx="5">
                  <c:v>JUMBO BAG RED RETROSPOT</c:v>
                </c:pt>
                <c:pt idx="6">
                  <c:v>MEDIUM CERAMIC TOP STORAGE JAR</c:v>
                </c:pt>
                <c:pt idx="7">
                  <c:v>Manual</c:v>
                </c:pt>
                <c:pt idx="8">
                  <c:v>POSTAGE</c:v>
                </c:pt>
                <c:pt idx="9">
                  <c:v>RABBIT NIGHT LIGHT</c:v>
                </c:pt>
              </c:strCache>
            </c:strRef>
          </c:cat>
          <c:val>
            <c:numRef>
              <c:f>'Product Analysis'!$F$52:$F$61</c:f>
              <c:numCache>
                <c:formatCode>\$#,##0.00;[Red]\-\$#,##0.00</c:formatCode>
                <c:ptCount val="10"/>
                <c:pt idx="0">
                  <c:v>206248.77</c:v>
                </c:pt>
                <c:pt idx="1">
                  <c:v>174484.74</c:v>
                </c:pt>
                <c:pt idx="2">
                  <c:v>168469.6</c:v>
                </c:pt>
                <c:pt idx="3">
                  <c:v>104340.29</c:v>
                </c:pt>
                <c:pt idx="4">
                  <c:v>99504.33</c:v>
                </c:pt>
                <c:pt idx="5">
                  <c:v>94340.05</c:v>
                </c:pt>
                <c:pt idx="6">
                  <c:v>81700.920000000013</c:v>
                </c:pt>
                <c:pt idx="7">
                  <c:v>78110.27</c:v>
                </c:pt>
                <c:pt idx="8">
                  <c:v>78101.88</c:v>
                </c:pt>
                <c:pt idx="9">
                  <c:v>66964.990000000005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1-D848-BB96-90148F7FA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Gross Sales by Day of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'Time Analysis'!$E$51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FF990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404B5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'Time Analysis'!$D$52:$D$58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'Time Analysis'!$E$52:$E$58</c:f>
              <c:numCache>
                <c:formatCode>\$#,##0.00;[Red]\-\$#,##0.00</c:formatCode>
                <c:ptCount val="7"/>
                <c:pt idx="0">
                  <c:v>1779575.041</c:v>
                </c:pt>
                <c:pt idx="1">
                  <c:v>2178632.611</c:v>
                </c:pt>
                <c:pt idx="2">
                  <c:v>1851147.81</c:v>
                </c:pt>
                <c:pt idx="3">
                  <c:v>2203161.2400000002</c:v>
                </c:pt>
                <c:pt idx="4">
                  <c:v>1840340.2309999999</c:v>
                </c:pt>
                <c:pt idx="5">
                  <c:v>0</c:v>
                </c:pt>
                <c:pt idx="6">
                  <c:v>813827.61100000003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8-134E-A292-75FA024D0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.0,,&quot;M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Gross Sales by Hour of Day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'Time Analysis'!$J$51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232F3E"/>
            </a:solidFill>
            <a:ln>
              <a:noFill/>
              <a:prstDash val="solid"/>
            </a:ln>
          </c:spPr>
          <c:invertIfNegative val="0"/>
          <c:cat>
            <c:numRef>
              <c:f>'Time Analysis'!$I$52:$I$66</c:f>
              <c:numCache>
                <c:formatCode>0":00"</c:formatCode>
                <c:ptCount val="1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'Time Analysis'!$J$52:$J$66</c:f>
              <c:numCache>
                <c:formatCode>\$#,##0.00;[Red]\-\$#,##0.00</c:formatCode>
                <c:ptCount val="15"/>
                <c:pt idx="0">
                  <c:v>4.25</c:v>
                </c:pt>
                <c:pt idx="1">
                  <c:v>31059.21</c:v>
                </c:pt>
                <c:pt idx="2">
                  <c:v>283868.52</c:v>
                </c:pt>
                <c:pt idx="3">
                  <c:v>990267.821</c:v>
                </c:pt>
                <c:pt idx="4">
                  <c:v>1446742.7009999999</c:v>
                </c:pt>
                <c:pt idx="5">
                  <c:v>1239954.44</c:v>
                </c:pt>
                <c:pt idx="6">
                  <c:v>1444245.88</c:v>
                </c:pt>
                <c:pt idx="7">
                  <c:v>1265736.3</c:v>
                </c:pt>
                <c:pt idx="8">
                  <c:v>1181812.371</c:v>
                </c:pt>
                <c:pt idx="9">
                  <c:v>1352972.18</c:v>
                </c:pt>
                <c:pt idx="10">
                  <c:v>754006.56</c:v>
                </c:pt>
                <c:pt idx="11">
                  <c:v>461603.49099999998</c:v>
                </c:pt>
                <c:pt idx="12">
                  <c:v>144813.04999999999</c:v>
                </c:pt>
                <c:pt idx="13">
                  <c:v>50665.01</c:v>
                </c:pt>
                <c:pt idx="14">
                  <c:v>18932.759999999998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6-DB4D-B34F-0A20485F8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0&quot;:00&quot;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.0,,&quot;M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Customers: One-time vs Repeat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'Customer Analysis'!$N$51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FF990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97B-0F4C-B3F2-A45F9AA5BEA2}"/>
              </c:ext>
            </c:extLst>
          </c:dPt>
          <c:dPt>
            <c:idx val="1"/>
            <c:bubble3D val="0"/>
            <c:spPr>
              <a:solidFill>
                <a:srgbClr val="232F3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97B-0F4C-B3F2-A45F9AA5BEA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'Customer Analysis'!$M$52:$M$53</c:f>
              <c:strCache>
                <c:ptCount val="2"/>
                <c:pt idx="0">
                  <c:v>One-time</c:v>
                </c:pt>
                <c:pt idx="1">
                  <c:v>Repeat</c:v>
                </c:pt>
              </c:strCache>
            </c:strRef>
          </c:cat>
          <c:val>
            <c:numRef>
              <c:f>'Customer Analysis'!$N$52:$N$53</c:f>
              <c:numCache>
                <c:formatCode>#,##0</c:formatCode>
                <c:ptCount val="2"/>
                <c:pt idx="0">
                  <c:v>1493</c:v>
                </c:pt>
                <c:pt idx="1">
                  <c:v>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7B-0F4C-B3F2-A45F9AA5B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</c:plotArea>
    <c:legend>
      <c:legendPos val="b"/>
      <c:overlay val="1"/>
      <c:txPr>
        <a:bodyPr/>
        <a:lstStyle/>
        <a:p>
          <a:pPr>
            <a:defRPr sz="900" b="0">
              <a:solidFill>
                <a:srgbClr val="404B5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Quarterly Gross Sales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Analysis'!$E$68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2A9D8F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404B5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'Monthly Analysis'!$D$69:$D$73</c:f>
              <c:strCache>
                <c:ptCount val="5"/>
                <c:pt idx="0">
                  <c:v>2010Q4</c:v>
                </c:pt>
                <c:pt idx="1">
                  <c:v>2011Q1</c:v>
                </c:pt>
                <c:pt idx="2">
                  <c:v>2011Q2</c:v>
                </c:pt>
                <c:pt idx="3">
                  <c:v>2011Q3</c:v>
                </c:pt>
                <c:pt idx="4">
                  <c:v>2011Q4</c:v>
                </c:pt>
              </c:strCache>
            </c:strRef>
          </c:cat>
          <c:val>
            <c:numRef>
              <c:f>'Monthly Analysis'!$E$69:$E$73</c:f>
              <c:numCache>
                <c:formatCode>\$#,##0.00;[Red]\-\$#,##0.00</c:formatCode>
                <c:ptCount val="5"/>
                <c:pt idx="0">
                  <c:v>823746.14</c:v>
                </c:pt>
                <c:pt idx="1">
                  <c:v>1932635.81</c:v>
                </c:pt>
                <c:pt idx="2">
                  <c:v>2070084.541</c:v>
                </c:pt>
                <c:pt idx="3">
                  <c:v>2536949.7429999998</c:v>
                </c:pt>
                <c:pt idx="4">
                  <c:v>3303268.31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5-3E46-9961-1192E22A9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.0,,&quot;M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Monthly Order Volume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'Sales Analysis'!$F$28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2A9D8F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404B5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'Sales Analysis'!$D$29:$D$41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'Sales Analysis'!$F$29:$F$41</c:f>
              <c:numCache>
                <c:formatCode>#,##0</c:formatCode>
                <c:ptCount val="13"/>
                <c:pt idx="0">
                  <c:v>1559</c:v>
                </c:pt>
                <c:pt idx="1">
                  <c:v>1086</c:v>
                </c:pt>
                <c:pt idx="2">
                  <c:v>1100</c:v>
                </c:pt>
                <c:pt idx="3">
                  <c:v>1454</c:v>
                </c:pt>
                <c:pt idx="4">
                  <c:v>1246</c:v>
                </c:pt>
                <c:pt idx="5">
                  <c:v>1681</c:v>
                </c:pt>
                <c:pt idx="6">
                  <c:v>1533</c:v>
                </c:pt>
                <c:pt idx="7">
                  <c:v>1475</c:v>
                </c:pt>
                <c:pt idx="8">
                  <c:v>1361</c:v>
                </c:pt>
                <c:pt idx="9">
                  <c:v>1837</c:v>
                </c:pt>
                <c:pt idx="10">
                  <c:v>2040</c:v>
                </c:pt>
                <c:pt idx="11">
                  <c:v>2769</c:v>
                </c:pt>
                <c:pt idx="12">
                  <c:v>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56-B347-905E-6E390318D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.0,,&quot;M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Monthly Units Sold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'Sales Analysis'!$G$28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>
              <a:solidFill>
                <a:schemeClr val="accent1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9900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cat>
            <c:strRef>
              <c:f>'Sales Analysis'!$D$29:$D$41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'Sales Analysis'!$G$29:$G$41</c:f>
              <c:numCache>
                <c:formatCode>#,##0</c:formatCode>
                <c:ptCount val="13"/>
                <c:pt idx="0">
                  <c:v>359239</c:v>
                </c:pt>
                <c:pt idx="1">
                  <c:v>387785</c:v>
                </c:pt>
                <c:pt idx="2">
                  <c:v>283555</c:v>
                </c:pt>
                <c:pt idx="3">
                  <c:v>377526</c:v>
                </c:pt>
                <c:pt idx="4">
                  <c:v>308815</c:v>
                </c:pt>
                <c:pt idx="5">
                  <c:v>395738</c:v>
                </c:pt>
                <c:pt idx="6">
                  <c:v>389213</c:v>
                </c:pt>
                <c:pt idx="7">
                  <c:v>401759</c:v>
                </c:pt>
                <c:pt idx="8">
                  <c:v>421770</c:v>
                </c:pt>
                <c:pt idx="9">
                  <c:v>570820</c:v>
                </c:pt>
                <c:pt idx="10">
                  <c:v>623401</c:v>
                </c:pt>
                <c:pt idx="11">
                  <c:v>754507</c:v>
                </c:pt>
                <c:pt idx="12">
                  <c:v>314248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31-4A4B-A669-38212872E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Monthly Gross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Analysis'!$E$51</c:f>
              <c:strCache>
                <c:ptCount val="1"/>
                <c:pt idx="0">
                  <c:v>Gross Sales</c:v>
                </c:pt>
              </c:strCache>
            </c:strRef>
          </c:tx>
          <c:spPr>
            <a:ln w="28575">
              <a:solidFill>
                <a:srgbClr val="FF99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9900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cat>
            <c:strRef>
              <c:f>'Monthly Analysis'!$D$52:$D$64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'Monthly Analysis'!$E$52:$E$64</c:f>
              <c:numCache>
                <c:formatCode>\$#,##0.00;[Red]\-\$#,##0.00</c:formatCode>
                <c:ptCount val="13"/>
                <c:pt idx="0">
                  <c:v>823746.14</c:v>
                </c:pt>
                <c:pt idx="1">
                  <c:v>691364.56</c:v>
                </c:pt>
                <c:pt idx="2">
                  <c:v>523631.89</c:v>
                </c:pt>
                <c:pt idx="3">
                  <c:v>717639.36</c:v>
                </c:pt>
                <c:pt idx="4">
                  <c:v>537808.62100000004</c:v>
                </c:pt>
                <c:pt idx="5">
                  <c:v>770536.02</c:v>
                </c:pt>
                <c:pt idx="6">
                  <c:v>761739.9</c:v>
                </c:pt>
                <c:pt idx="7">
                  <c:v>719221.19099999999</c:v>
                </c:pt>
                <c:pt idx="8">
                  <c:v>759138.38</c:v>
                </c:pt>
                <c:pt idx="9">
                  <c:v>1058590.172</c:v>
                </c:pt>
                <c:pt idx="10">
                  <c:v>1154979.3</c:v>
                </c:pt>
                <c:pt idx="11">
                  <c:v>1509496.33</c:v>
                </c:pt>
                <c:pt idx="12">
                  <c:v>638792.68000000005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70-9644-9CAF-B6596D954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Orders &amp; Customers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Analysis'!$F$51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232F3E"/>
            </a:solidFill>
            <a:ln>
              <a:noFill/>
              <a:prstDash val="solid"/>
            </a:ln>
          </c:spPr>
          <c:invertIfNegative val="0"/>
          <c:cat>
            <c:strRef>
              <c:f>'Monthly Analysis'!$D$52:$D$64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'Monthly Analysis'!$F$52:$F$64</c:f>
              <c:numCache>
                <c:formatCode>#,##0</c:formatCode>
                <c:ptCount val="13"/>
                <c:pt idx="0">
                  <c:v>1559</c:v>
                </c:pt>
                <c:pt idx="1">
                  <c:v>1086</c:v>
                </c:pt>
                <c:pt idx="2">
                  <c:v>1100</c:v>
                </c:pt>
                <c:pt idx="3">
                  <c:v>1454</c:v>
                </c:pt>
                <c:pt idx="4">
                  <c:v>1246</c:v>
                </c:pt>
                <c:pt idx="5">
                  <c:v>1681</c:v>
                </c:pt>
                <c:pt idx="6">
                  <c:v>1533</c:v>
                </c:pt>
                <c:pt idx="7">
                  <c:v>1475</c:v>
                </c:pt>
                <c:pt idx="8">
                  <c:v>1361</c:v>
                </c:pt>
                <c:pt idx="9">
                  <c:v>1837</c:v>
                </c:pt>
                <c:pt idx="10">
                  <c:v>2040</c:v>
                </c:pt>
                <c:pt idx="11">
                  <c:v>2769</c:v>
                </c:pt>
                <c:pt idx="12">
                  <c:v>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9-A348-93FA-2DBC74CD7DB5}"/>
            </c:ext>
          </c:extLst>
        </c:ser>
        <c:ser>
          <c:idx val="1"/>
          <c:order val="1"/>
          <c:tx>
            <c:strRef>
              <c:f>'Monthly Analysis'!$G$51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FF9900"/>
            </a:solidFill>
            <a:ln>
              <a:noFill/>
              <a:prstDash val="solid"/>
            </a:ln>
          </c:spPr>
          <c:invertIfNegative val="0"/>
          <c:cat>
            <c:strRef>
              <c:f>'Monthly Analysis'!$D$52:$D$64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'Monthly Analysis'!$G$52:$G$64</c:f>
              <c:numCache>
                <c:formatCode>#,##0</c:formatCode>
                <c:ptCount val="13"/>
                <c:pt idx="0">
                  <c:v>885</c:v>
                </c:pt>
                <c:pt idx="1">
                  <c:v>741</c:v>
                </c:pt>
                <c:pt idx="2">
                  <c:v>758</c:v>
                </c:pt>
                <c:pt idx="3">
                  <c:v>974</c:v>
                </c:pt>
                <c:pt idx="4">
                  <c:v>856</c:v>
                </c:pt>
                <c:pt idx="5">
                  <c:v>1056</c:v>
                </c:pt>
                <c:pt idx="6">
                  <c:v>991</c:v>
                </c:pt>
                <c:pt idx="7">
                  <c:v>949</c:v>
                </c:pt>
                <c:pt idx="8">
                  <c:v>935</c:v>
                </c:pt>
                <c:pt idx="9">
                  <c:v>1266</c:v>
                </c:pt>
                <c:pt idx="10">
                  <c:v>1364</c:v>
                </c:pt>
                <c:pt idx="11">
                  <c:v>1664</c:v>
                </c:pt>
                <c:pt idx="12">
                  <c:v>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C9-A348-93FA-2DBC74CD7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74492438717195186"/>
          <c:y val="5.7863634965551192E-2"/>
          <c:w val="0.23267570878993771"/>
          <c:h val="7.7878552534448822E-2"/>
        </c:manualLayout>
      </c:layout>
      <c:overlay val="1"/>
      <c:txPr>
        <a:bodyPr/>
        <a:lstStyle/>
        <a:p>
          <a:pPr>
            <a:defRPr sz="900" b="0">
              <a:solidFill>
                <a:srgbClr val="404B5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Month-on-Month Sales Change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Analysis'!$J$51</c:f>
              <c:strCache>
                <c:ptCount val="1"/>
                <c:pt idx="0">
                  <c:v>MoM Sales Change</c:v>
                </c:pt>
              </c:strCache>
            </c:strRef>
          </c:tx>
          <c:spPr>
            <a:solidFill>
              <a:srgbClr val="FF9900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2A9D8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3C-B84E-8029-676888EAA889}"/>
              </c:ext>
            </c:extLst>
          </c:dPt>
          <c:dPt>
            <c:idx val="1"/>
            <c:invertIfNegative val="1"/>
            <c:bubble3D val="0"/>
            <c:spPr>
              <a:solidFill>
                <a:srgbClr val="C039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3C-B84E-8029-676888EAA889}"/>
              </c:ext>
            </c:extLst>
          </c:dPt>
          <c:dPt>
            <c:idx val="2"/>
            <c:invertIfNegative val="1"/>
            <c:bubble3D val="0"/>
            <c:spPr>
              <a:solidFill>
                <a:srgbClr val="C039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3C-B84E-8029-676888EAA889}"/>
              </c:ext>
            </c:extLst>
          </c:dPt>
          <c:dPt>
            <c:idx val="3"/>
            <c:invertIfNegative val="1"/>
            <c:bubble3D val="0"/>
            <c:spPr>
              <a:solidFill>
                <a:srgbClr val="2A9D8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B3C-B84E-8029-676888EAA889}"/>
              </c:ext>
            </c:extLst>
          </c:dPt>
          <c:dPt>
            <c:idx val="4"/>
            <c:invertIfNegative val="1"/>
            <c:bubble3D val="0"/>
            <c:spPr>
              <a:solidFill>
                <a:srgbClr val="C039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B3C-B84E-8029-676888EAA889}"/>
              </c:ext>
            </c:extLst>
          </c:dPt>
          <c:dPt>
            <c:idx val="5"/>
            <c:invertIfNegative val="1"/>
            <c:bubble3D val="0"/>
            <c:spPr>
              <a:solidFill>
                <a:srgbClr val="2A9D8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B3C-B84E-8029-676888EAA889}"/>
              </c:ext>
            </c:extLst>
          </c:dPt>
          <c:dPt>
            <c:idx val="6"/>
            <c:invertIfNegative val="1"/>
            <c:bubble3D val="0"/>
            <c:spPr>
              <a:solidFill>
                <a:srgbClr val="C039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B3C-B84E-8029-676888EAA889}"/>
              </c:ext>
            </c:extLst>
          </c:dPt>
          <c:dPt>
            <c:idx val="7"/>
            <c:invertIfNegative val="1"/>
            <c:bubble3D val="0"/>
            <c:spPr>
              <a:solidFill>
                <a:srgbClr val="C039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B3C-B84E-8029-676888EAA889}"/>
              </c:ext>
            </c:extLst>
          </c:dPt>
          <c:dPt>
            <c:idx val="8"/>
            <c:invertIfNegative val="1"/>
            <c:bubble3D val="0"/>
            <c:spPr>
              <a:solidFill>
                <a:srgbClr val="2A9D8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B3C-B84E-8029-676888EAA889}"/>
              </c:ext>
            </c:extLst>
          </c:dPt>
          <c:dPt>
            <c:idx val="9"/>
            <c:invertIfNegative val="1"/>
            <c:bubble3D val="0"/>
            <c:spPr>
              <a:solidFill>
                <a:srgbClr val="2A9D8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B3C-B84E-8029-676888EAA889}"/>
              </c:ext>
            </c:extLst>
          </c:dPt>
          <c:dPt>
            <c:idx val="10"/>
            <c:invertIfNegative val="1"/>
            <c:bubble3D val="0"/>
            <c:spPr>
              <a:solidFill>
                <a:srgbClr val="2A9D8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B3C-B84E-8029-676888EAA889}"/>
              </c:ext>
            </c:extLst>
          </c:dPt>
          <c:dPt>
            <c:idx val="11"/>
            <c:invertIfNegative val="1"/>
            <c:bubble3D val="0"/>
            <c:spPr>
              <a:solidFill>
                <a:srgbClr val="2A9D8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AB3C-B84E-8029-676888EAA889}"/>
              </c:ext>
            </c:extLst>
          </c:dPt>
          <c:dPt>
            <c:idx val="12"/>
            <c:invertIfNegative val="1"/>
            <c:bubble3D val="0"/>
            <c:spPr>
              <a:solidFill>
                <a:srgbClr val="C039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AB3C-B84E-8029-676888EAA889}"/>
              </c:ext>
            </c:extLst>
          </c:dPt>
          <c:cat>
            <c:strRef>
              <c:f>'Monthly Analysis'!$D$52:$D$64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'Monthly Analysis'!$J$52:$J$64</c:f>
              <c:numCache>
                <c:formatCode>0.0%;[Red]\-0.0%</c:formatCode>
                <c:ptCount val="13"/>
                <c:pt idx="1">
                  <c:v>-0.16070676822837671</c:v>
                </c:pt>
                <c:pt idx="2">
                  <c:v>-0.24261103288256489</c:v>
                </c:pt>
                <c:pt idx="3">
                  <c:v>0.37050354209710168</c:v>
                </c:pt>
                <c:pt idx="4">
                  <c:v>-0.25058650489850498</c:v>
                </c:pt>
                <c:pt idx="5">
                  <c:v>0.43273274156012448</c:v>
                </c:pt>
                <c:pt idx="6">
                  <c:v>-1.1415585737315709E-2</c:v>
                </c:pt>
                <c:pt idx="7">
                  <c:v>-5.5817883505905441E-2</c:v>
                </c:pt>
                <c:pt idx="8">
                  <c:v>5.5500574092511627E-2</c:v>
                </c:pt>
                <c:pt idx="9">
                  <c:v>0.39446272233001828</c:v>
                </c:pt>
                <c:pt idx="10">
                  <c:v>9.1054244172597443E-2</c:v>
                </c:pt>
                <c:pt idx="11">
                  <c:v>0.30694665263697801</c:v>
                </c:pt>
                <c:pt idx="12">
                  <c:v>-0.57681733482584874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B3C-B84E-8029-676888EAA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Quarterly Gross Sales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Analysis'!$E$68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146EB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404B5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'Monthly Analysis'!$D$69:$D$73</c:f>
              <c:strCache>
                <c:ptCount val="5"/>
                <c:pt idx="0">
                  <c:v>2010Q4</c:v>
                </c:pt>
                <c:pt idx="1">
                  <c:v>2011Q1</c:v>
                </c:pt>
                <c:pt idx="2">
                  <c:v>2011Q2</c:v>
                </c:pt>
                <c:pt idx="3">
                  <c:v>2011Q3</c:v>
                </c:pt>
                <c:pt idx="4">
                  <c:v>2011Q4</c:v>
                </c:pt>
              </c:strCache>
            </c:strRef>
          </c:cat>
          <c:val>
            <c:numRef>
              <c:f>'Monthly Analysis'!$E$69:$E$73</c:f>
              <c:numCache>
                <c:formatCode>\$#,##0.00;[Red]\-\$#,##0.00</c:formatCode>
                <c:ptCount val="5"/>
                <c:pt idx="0">
                  <c:v>823746.14</c:v>
                </c:pt>
                <c:pt idx="1">
                  <c:v>1932635.81</c:v>
                </c:pt>
                <c:pt idx="2">
                  <c:v>2070084.541</c:v>
                </c:pt>
                <c:pt idx="3">
                  <c:v>2536949.7429999998</c:v>
                </c:pt>
                <c:pt idx="4">
                  <c:v>3303268.31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9-4F42-9CB9-4955411BD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.0,,&quot;M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Top 10 Countries by Gross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'Country Analysis'!$E$51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FF9900"/>
            </a:solidFill>
            <a:ln>
              <a:noFill/>
              <a:prstDash val="solid"/>
            </a:ln>
          </c:spPr>
          <c:invertIfNegative val="0"/>
          <c:cat>
            <c:strRef>
              <c:f>'Country Analysis'!$D$52:$D$61</c:f>
              <c:strCache>
                <c:ptCount val="1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Belgium</c:v>
                </c:pt>
                <c:pt idx="9">
                  <c:v>Sweden</c:v>
                </c:pt>
              </c:strCache>
            </c:strRef>
          </c:cat>
          <c:val>
            <c:numRef>
              <c:f>'Country Analysis'!$E$52:$E$61</c:f>
              <c:numCache>
                <c:formatCode>\$#,##0.00;[Red]\-\$#,##0.00</c:formatCode>
                <c:ptCount val="10"/>
                <c:pt idx="0">
                  <c:v>9025222.0840000007</c:v>
                </c:pt>
                <c:pt idx="1">
                  <c:v>285446.34000000003</c:v>
                </c:pt>
                <c:pt idx="2">
                  <c:v>283453.96000000002</c:v>
                </c:pt>
                <c:pt idx="3">
                  <c:v>228867.14</c:v>
                </c:pt>
                <c:pt idx="4">
                  <c:v>209715.11</c:v>
                </c:pt>
                <c:pt idx="5">
                  <c:v>138521.31</c:v>
                </c:pt>
                <c:pt idx="6">
                  <c:v>61577.11</c:v>
                </c:pt>
                <c:pt idx="7">
                  <c:v>57089.9</c:v>
                </c:pt>
                <c:pt idx="8">
                  <c:v>41196.339999999997</c:v>
                </c:pt>
                <c:pt idx="9">
                  <c:v>38378.33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9-974E-905E-B118850E5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.0,,&quot;M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Gross Sales Share — Top 5 vs Rest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'Country Analysis'!$M$51</c:f>
              <c:strCache>
                <c:ptCount val="1"/>
                <c:pt idx="0">
                  <c:v>Gross Sales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32F3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AE-944B-B333-D8DEF141D0FB}"/>
              </c:ext>
            </c:extLst>
          </c:dPt>
          <c:dPt>
            <c:idx val="1"/>
            <c:bubble3D val="0"/>
            <c:spPr>
              <a:solidFill>
                <a:srgbClr val="FF990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AE-944B-B333-D8DEF141D0FB}"/>
              </c:ext>
            </c:extLst>
          </c:dPt>
          <c:dPt>
            <c:idx val="2"/>
            <c:bubble3D val="0"/>
            <c:spPr>
              <a:solidFill>
                <a:srgbClr val="146EB4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AE-944B-B333-D8DEF141D0FB}"/>
              </c:ext>
            </c:extLst>
          </c:dPt>
          <c:dPt>
            <c:idx val="3"/>
            <c:bubble3D val="0"/>
            <c:spPr>
              <a:solidFill>
                <a:srgbClr val="2A9D8F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AAE-944B-B333-D8DEF141D0FB}"/>
              </c:ext>
            </c:extLst>
          </c:dPt>
          <c:dPt>
            <c:idx val="4"/>
            <c:bubble3D val="0"/>
            <c:spPr>
              <a:solidFill>
                <a:srgbClr val="8E9AAF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AAE-944B-B333-D8DEF141D0FB}"/>
              </c:ext>
            </c:extLst>
          </c:dPt>
          <c:dPt>
            <c:idx val="5"/>
            <c:bubble3D val="0"/>
            <c:spPr>
              <a:solidFill>
                <a:srgbClr val="C9D1DC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AAE-944B-B333-D8DEF141D0FB}"/>
              </c:ext>
            </c:extLst>
          </c:dPt>
          <c:cat>
            <c:strRef>
              <c:f>'Country Analysis'!$L$52:$L$57</c:f>
              <c:strCache>
                <c:ptCount val="6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All other countries</c:v>
                </c:pt>
              </c:strCache>
            </c:strRef>
          </c:cat>
          <c:val>
            <c:numRef>
              <c:f>'Country Analysis'!$M$52:$M$57</c:f>
              <c:numCache>
                <c:formatCode>\$#,##0.00;[Red]\-\$#,##0.00</c:formatCode>
                <c:ptCount val="6"/>
                <c:pt idx="0">
                  <c:v>9025222.0840000007</c:v>
                </c:pt>
                <c:pt idx="1">
                  <c:v>285446.34000000003</c:v>
                </c:pt>
                <c:pt idx="2">
                  <c:v>283453.96000000002</c:v>
                </c:pt>
                <c:pt idx="3">
                  <c:v>228867.14</c:v>
                </c:pt>
                <c:pt idx="4">
                  <c:v>209715.11</c:v>
                </c:pt>
                <c:pt idx="5">
                  <c:v>633979.91000000015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AAE-944B-B333-D8DEF141D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</c:plotArea>
    <c:legend>
      <c:legendPos val="r"/>
      <c:overlay val="0"/>
      <c:txPr>
        <a:bodyPr/>
        <a:lstStyle/>
        <a:p>
          <a:pPr>
            <a:defRPr sz="900" b="0">
              <a:solidFill>
                <a:srgbClr val="404B5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Average Order Value — Top 10 Countries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'Country Analysis'!$J$51</c:f>
              <c:strCache>
                <c:ptCount val="1"/>
                <c:pt idx="0">
                  <c:v>Average Order Value</c:v>
                </c:pt>
              </c:strCache>
            </c:strRef>
          </c:tx>
          <c:spPr>
            <a:solidFill>
              <a:srgbClr val="146EB4"/>
            </a:solidFill>
            <a:ln>
              <a:noFill/>
              <a:prstDash val="solid"/>
            </a:ln>
          </c:spPr>
          <c:invertIfNegative val="0"/>
          <c:cat>
            <c:strRef>
              <c:f>'Country Analysis'!$D$52:$D$61</c:f>
              <c:strCache>
                <c:ptCount val="1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Belgium</c:v>
                </c:pt>
                <c:pt idx="9">
                  <c:v>Sweden</c:v>
                </c:pt>
              </c:strCache>
            </c:strRef>
          </c:cat>
          <c:val>
            <c:numRef>
              <c:f>'Country Analysis'!$J$52:$J$61</c:f>
              <c:numCache>
                <c:formatCode>\$#,##0.00;[Red]\-\$#,##0.00</c:formatCode>
                <c:ptCount val="10"/>
                <c:pt idx="0">
                  <c:v>500.87252810921808</c:v>
                </c:pt>
                <c:pt idx="1">
                  <c:v>3036.6631914893619</c:v>
                </c:pt>
                <c:pt idx="2">
                  <c:v>984.21513888888899</c:v>
                </c:pt>
                <c:pt idx="3">
                  <c:v>500.8033698030635</c:v>
                </c:pt>
                <c:pt idx="4">
                  <c:v>534.98752551020402</c:v>
                </c:pt>
                <c:pt idx="5">
                  <c:v>2430.1984210526321</c:v>
                </c:pt>
                <c:pt idx="6">
                  <c:v>684.19011111111115</c:v>
                </c:pt>
                <c:pt idx="7">
                  <c:v>1057.2203703703699</c:v>
                </c:pt>
                <c:pt idx="8">
                  <c:v>420.37081632653059</c:v>
                </c:pt>
                <c:pt idx="9">
                  <c:v>1066.0647222222219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9-FD4D-B14F-6A6765D70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Export Markets — Ranks 2 to 11 by Gross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FF9900"/>
            </a:solidFill>
            <a:ln>
              <a:noFill/>
              <a:prstDash val="solid"/>
            </a:ln>
          </c:spPr>
          <c:invertIfNegative val="0"/>
          <c:cat>
            <c:strRef>
              <c:f>'Country Analysis'!$D$53:$D$62</c:f>
              <c:strCache>
                <c:ptCount val="10"/>
                <c:pt idx="0">
                  <c:v>Netherlands</c:v>
                </c:pt>
                <c:pt idx="1">
                  <c:v>EIRE</c:v>
                </c:pt>
                <c:pt idx="2">
                  <c:v>Germany</c:v>
                </c:pt>
                <c:pt idx="3">
                  <c:v>France</c:v>
                </c:pt>
                <c:pt idx="4">
                  <c:v>Australia</c:v>
                </c:pt>
                <c:pt idx="5">
                  <c:v>Spain</c:v>
                </c:pt>
                <c:pt idx="6">
                  <c:v>Switzerland</c:v>
                </c:pt>
                <c:pt idx="7">
                  <c:v>Belgium</c:v>
                </c:pt>
                <c:pt idx="8">
                  <c:v>Sweden</c:v>
                </c:pt>
                <c:pt idx="9">
                  <c:v>Japan</c:v>
                </c:pt>
              </c:strCache>
            </c:strRef>
          </c:cat>
          <c:val>
            <c:numRef>
              <c:f>'Country Analysis'!$E$53:$E$62</c:f>
              <c:numCache>
                <c:formatCode>\$#,##0.00;[Red]\-\$#,##0.00</c:formatCode>
                <c:ptCount val="10"/>
                <c:pt idx="0">
                  <c:v>285446.34000000003</c:v>
                </c:pt>
                <c:pt idx="1">
                  <c:v>283453.96000000002</c:v>
                </c:pt>
                <c:pt idx="2">
                  <c:v>228867.14</c:v>
                </c:pt>
                <c:pt idx="3">
                  <c:v>209715.11</c:v>
                </c:pt>
                <c:pt idx="4">
                  <c:v>138521.31</c:v>
                </c:pt>
                <c:pt idx="5">
                  <c:v>61577.11</c:v>
                </c:pt>
                <c:pt idx="6">
                  <c:v>57089.9</c:v>
                </c:pt>
                <c:pt idx="7">
                  <c:v>41196.339999999997</c:v>
                </c:pt>
                <c:pt idx="8">
                  <c:v>38378.33</c:v>
                </c:pt>
                <c:pt idx="9">
                  <c:v>37416.370000000003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D-AA4F-ABDC-2C487CD4F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Top 10 Products by Gross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'Product Analysis'!$F$51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FF9900"/>
            </a:solidFill>
            <a:ln>
              <a:noFill/>
              <a:prstDash val="solid"/>
            </a:ln>
          </c:spPr>
          <c:invertIfNegative val="0"/>
          <c:cat>
            <c:strRef>
              <c:f>'Product Analysis'!$E$52:$E$61</c:f>
              <c:strCache>
                <c:ptCount val="10"/>
                <c:pt idx="0">
                  <c:v>DOTCOM POSTAGE</c:v>
                </c:pt>
                <c:pt idx="1">
                  <c:v>REGENCY CAKESTAND 3 TIER</c:v>
                </c:pt>
                <c:pt idx="2">
                  <c:v>PAPER CRAFT , LITTLE BIRDIE</c:v>
                </c:pt>
                <c:pt idx="3">
                  <c:v>WHITE HANGING HEART T-LIGHT HOLDER</c:v>
                </c:pt>
                <c:pt idx="4">
                  <c:v>PARTY BUNTING</c:v>
                </c:pt>
                <c:pt idx="5">
                  <c:v>JUMBO BAG RED RETROSPOT</c:v>
                </c:pt>
                <c:pt idx="6">
                  <c:v>MEDIUM CERAMIC TOP STORAGE JAR</c:v>
                </c:pt>
                <c:pt idx="7">
                  <c:v>Manual</c:v>
                </c:pt>
                <c:pt idx="8">
                  <c:v>POSTAGE</c:v>
                </c:pt>
                <c:pt idx="9">
                  <c:v>RABBIT NIGHT LIGHT</c:v>
                </c:pt>
              </c:strCache>
            </c:strRef>
          </c:cat>
          <c:val>
            <c:numRef>
              <c:f>'Product Analysis'!$F$52:$F$61</c:f>
              <c:numCache>
                <c:formatCode>\$#,##0.00;[Red]\-\$#,##0.00</c:formatCode>
                <c:ptCount val="10"/>
                <c:pt idx="0">
                  <c:v>206248.77</c:v>
                </c:pt>
                <c:pt idx="1">
                  <c:v>174484.74</c:v>
                </c:pt>
                <c:pt idx="2">
                  <c:v>168469.6</c:v>
                </c:pt>
                <c:pt idx="3">
                  <c:v>104340.29</c:v>
                </c:pt>
                <c:pt idx="4">
                  <c:v>99504.33</c:v>
                </c:pt>
                <c:pt idx="5">
                  <c:v>94340.05</c:v>
                </c:pt>
                <c:pt idx="6">
                  <c:v>81700.920000000013</c:v>
                </c:pt>
                <c:pt idx="7">
                  <c:v>78110.27</c:v>
                </c:pt>
                <c:pt idx="8">
                  <c:v>78101.88</c:v>
                </c:pt>
                <c:pt idx="9">
                  <c:v>66964.990000000005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6-554A-A403-3C2D928AB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Units Sold — Top 10 Products by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'Product Analysis'!$G$51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146EB4"/>
            </a:solidFill>
            <a:ln>
              <a:noFill/>
              <a:prstDash val="solid"/>
            </a:ln>
          </c:spPr>
          <c:invertIfNegative val="0"/>
          <c:cat>
            <c:strRef>
              <c:f>'Product Analysis'!$E$52:$E$61</c:f>
              <c:strCache>
                <c:ptCount val="10"/>
                <c:pt idx="0">
                  <c:v>DOTCOM POSTAGE</c:v>
                </c:pt>
                <c:pt idx="1">
                  <c:v>REGENCY CAKESTAND 3 TIER</c:v>
                </c:pt>
                <c:pt idx="2">
                  <c:v>PAPER CRAFT , LITTLE BIRDIE</c:v>
                </c:pt>
                <c:pt idx="3">
                  <c:v>WHITE HANGING HEART T-LIGHT HOLDER</c:v>
                </c:pt>
                <c:pt idx="4">
                  <c:v>PARTY BUNTING</c:v>
                </c:pt>
                <c:pt idx="5">
                  <c:v>JUMBO BAG RED RETROSPOT</c:v>
                </c:pt>
                <c:pt idx="6">
                  <c:v>MEDIUM CERAMIC TOP STORAGE JAR</c:v>
                </c:pt>
                <c:pt idx="7">
                  <c:v>Manual</c:v>
                </c:pt>
                <c:pt idx="8">
                  <c:v>POSTAGE</c:v>
                </c:pt>
                <c:pt idx="9">
                  <c:v>RABBIT NIGHT LIGHT</c:v>
                </c:pt>
              </c:strCache>
            </c:strRef>
          </c:cat>
          <c:val>
            <c:numRef>
              <c:f>'Product Analysis'!$G$52:$G$61</c:f>
              <c:numCache>
                <c:formatCode>#,##0</c:formatCode>
                <c:ptCount val="10"/>
                <c:pt idx="0">
                  <c:v>706</c:v>
                </c:pt>
                <c:pt idx="1">
                  <c:v>13879</c:v>
                </c:pt>
                <c:pt idx="2">
                  <c:v>80995</c:v>
                </c:pt>
                <c:pt idx="3">
                  <c:v>37599</c:v>
                </c:pt>
                <c:pt idx="4">
                  <c:v>18295</c:v>
                </c:pt>
                <c:pt idx="5">
                  <c:v>48474</c:v>
                </c:pt>
                <c:pt idx="6">
                  <c:v>78033</c:v>
                </c:pt>
                <c:pt idx="7">
                  <c:v>7224</c:v>
                </c:pt>
                <c:pt idx="8">
                  <c:v>3150</c:v>
                </c:pt>
                <c:pt idx="9">
                  <c:v>30788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7-1347-9A26-8DB202FF9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Orders — Top 10 Products by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'Product Analysis'!$H$51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232F3E"/>
            </a:solidFill>
            <a:ln>
              <a:noFill/>
              <a:prstDash val="solid"/>
            </a:ln>
          </c:spPr>
          <c:invertIfNegative val="0"/>
          <c:cat>
            <c:strRef>
              <c:f>'Product Analysis'!$E$52:$E$61</c:f>
              <c:strCache>
                <c:ptCount val="10"/>
                <c:pt idx="0">
                  <c:v>DOTCOM POSTAGE</c:v>
                </c:pt>
                <c:pt idx="1">
                  <c:v>REGENCY CAKESTAND 3 TIER</c:v>
                </c:pt>
                <c:pt idx="2">
                  <c:v>PAPER CRAFT , LITTLE BIRDIE</c:v>
                </c:pt>
                <c:pt idx="3">
                  <c:v>WHITE HANGING HEART T-LIGHT HOLDER</c:v>
                </c:pt>
                <c:pt idx="4">
                  <c:v>PARTY BUNTING</c:v>
                </c:pt>
                <c:pt idx="5">
                  <c:v>JUMBO BAG RED RETROSPOT</c:v>
                </c:pt>
                <c:pt idx="6">
                  <c:v>MEDIUM CERAMIC TOP STORAGE JAR</c:v>
                </c:pt>
                <c:pt idx="7">
                  <c:v>Manual</c:v>
                </c:pt>
                <c:pt idx="8">
                  <c:v>POSTAGE</c:v>
                </c:pt>
                <c:pt idx="9">
                  <c:v>RABBIT NIGHT LIGHT</c:v>
                </c:pt>
              </c:strCache>
            </c:strRef>
          </c:cat>
          <c:val>
            <c:numRef>
              <c:f>'Product Analysis'!$H$52:$H$61</c:f>
              <c:numCache>
                <c:formatCode>#,##0</c:formatCode>
                <c:ptCount val="10"/>
                <c:pt idx="0">
                  <c:v>706</c:v>
                </c:pt>
                <c:pt idx="1">
                  <c:v>1988</c:v>
                </c:pt>
                <c:pt idx="2">
                  <c:v>1</c:v>
                </c:pt>
                <c:pt idx="3">
                  <c:v>2189</c:v>
                </c:pt>
                <c:pt idx="4">
                  <c:v>1685</c:v>
                </c:pt>
                <c:pt idx="5">
                  <c:v>2089</c:v>
                </c:pt>
                <c:pt idx="6">
                  <c:v>247</c:v>
                </c:pt>
                <c:pt idx="7">
                  <c:v>289</c:v>
                </c:pt>
                <c:pt idx="8">
                  <c:v>1126</c:v>
                </c:pt>
                <c:pt idx="9">
                  <c:v>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0-9C41-8B66-7BD472948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Customers Reached — Top 10 Products by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'Product Analysis'!$I$51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2A9D8F"/>
            </a:solidFill>
            <a:ln>
              <a:noFill/>
              <a:prstDash val="solid"/>
            </a:ln>
          </c:spPr>
          <c:invertIfNegative val="0"/>
          <c:cat>
            <c:strRef>
              <c:f>'Product Analysis'!$E$52:$E$61</c:f>
              <c:strCache>
                <c:ptCount val="10"/>
                <c:pt idx="0">
                  <c:v>DOTCOM POSTAGE</c:v>
                </c:pt>
                <c:pt idx="1">
                  <c:v>REGENCY CAKESTAND 3 TIER</c:v>
                </c:pt>
                <c:pt idx="2">
                  <c:v>PAPER CRAFT , LITTLE BIRDIE</c:v>
                </c:pt>
                <c:pt idx="3">
                  <c:v>WHITE HANGING HEART T-LIGHT HOLDER</c:v>
                </c:pt>
                <c:pt idx="4">
                  <c:v>PARTY BUNTING</c:v>
                </c:pt>
                <c:pt idx="5">
                  <c:v>JUMBO BAG RED RETROSPOT</c:v>
                </c:pt>
                <c:pt idx="6">
                  <c:v>MEDIUM CERAMIC TOP STORAGE JAR</c:v>
                </c:pt>
                <c:pt idx="7">
                  <c:v>Manual</c:v>
                </c:pt>
                <c:pt idx="8">
                  <c:v>POSTAGE</c:v>
                </c:pt>
                <c:pt idx="9">
                  <c:v>RABBIT NIGHT LIGHT</c:v>
                </c:pt>
              </c:strCache>
            </c:strRef>
          </c:cat>
          <c:val>
            <c:numRef>
              <c:f>'Product Analysis'!$I$52:$I$61</c:f>
              <c:numCache>
                <c:formatCode>#,##0</c:formatCode>
                <c:ptCount val="10"/>
                <c:pt idx="0">
                  <c:v>1</c:v>
                </c:pt>
                <c:pt idx="1">
                  <c:v>881</c:v>
                </c:pt>
                <c:pt idx="2">
                  <c:v>1</c:v>
                </c:pt>
                <c:pt idx="3">
                  <c:v>856</c:v>
                </c:pt>
                <c:pt idx="4">
                  <c:v>708</c:v>
                </c:pt>
                <c:pt idx="5">
                  <c:v>635</c:v>
                </c:pt>
                <c:pt idx="6">
                  <c:v>138</c:v>
                </c:pt>
                <c:pt idx="7">
                  <c:v>197</c:v>
                </c:pt>
                <c:pt idx="8">
                  <c:v>331</c:v>
                </c:pt>
                <c:pt idx="9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A-8041-84BF-7C10285F2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Customers by Type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'Customer Analysis'!$N$51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FF990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F8-1244-AFC6-38D13D1BD76D}"/>
              </c:ext>
            </c:extLst>
          </c:dPt>
          <c:dPt>
            <c:idx val="1"/>
            <c:bubble3D val="0"/>
            <c:spPr>
              <a:solidFill>
                <a:srgbClr val="232F3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F8-1244-AFC6-38D13D1BD76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'Customer Analysis'!$M$52:$M$53</c:f>
              <c:strCache>
                <c:ptCount val="2"/>
                <c:pt idx="0">
                  <c:v>One-time</c:v>
                </c:pt>
                <c:pt idx="1">
                  <c:v>Repeat</c:v>
                </c:pt>
              </c:strCache>
            </c:strRef>
          </c:cat>
          <c:val>
            <c:numRef>
              <c:f>'Customer Analysis'!$N$52:$N$53</c:f>
              <c:numCache>
                <c:formatCode>#,##0</c:formatCode>
                <c:ptCount val="2"/>
                <c:pt idx="0">
                  <c:v>1493</c:v>
                </c:pt>
                <c:pt idx="1">
                  <c:v>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F8-1244-AFC6-38D13D1BD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</c:plotArea>
    <c:legend>
      <c:legendPos val="b"/>
      <c:overlay val="1"/>
      <c:txPr>
        <a:bodyPr/>
        <a:lstStyle/>
        <a:p>
          <a:pPr>
            <a:defRPr sz="900" b="0">
              <a:solidFill>
                <a:srgbClr val="404B5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Gross Sales by Customer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'Customer Analysis'!$O$51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146EB4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FF990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54-3047-97A1-E836E82455A9}"/>
              </c:ext>
            </c:extLst>
          </c:dPt>
          <c:dPt>
            <c:idx val="1"/>
            <c:invertIfNegative val="1"/>
            <c:bubble3D val="0"/>
            <c:spPr>
              <a:solidFill>
                <a:srgbClr val="232F3E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54-3047-97A1-E836E82455A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404B5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'Customer Analysis'!$M$52:$M$53</c:f>
              <c:strCache>
                <c:ptCount val="2"/>
                <c:pt idx="0">
                  <c:v>One-time</c:v>
                </c:pt>
                <c:pt idx="1">
                  <c:v>Repeat</c:v>
                </c:pt>
              </c:strCache>
            </c:strRef>
          </c:cat>
          <c:val>
            <c:numRef>
              <c:f>'Customer Analysis'!$O$52:$O$53</c:f>
              <c:numCache>
                <c:formatCode>\$#,##0.00;[Red]\-\$#,##0.00</c:formatCode>
                <c:ptCount val="2"/>
                <c:pt idx="0">
                  <c:v>616311.73100000003</c:v>
                </c:pt>
                <c:pt idx="1">
                  <c:v>8295096.1730000004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54-3047-97A1-E836E8245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.0,,&quot;M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Top 10 Customers by Gross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'Customer Analysis'!$E$51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FF9900"/>
            </a:solidFill>
            <a:ln>
              <a:noFill/>
              <a:prstDash val="solid"/>
            </a:ln>
          </c:spPr>
          <c:invertIfNegative val="0"/>
          <c:cat>
            <c:numRef>
              <c:f>'Customer Analysis'!$D$52:$D$61</c:f>
              <c:numCache>
                <c:formatCode>0</c:formatCode>
                <c:ptCount val="10"/>
                <c:pt idx="0">
                  <c:v>14646</c:v>
                </c:pt>
                <c:pt idx="1">
                  <c:v>18102</c:v>
                </c:pt>
                <c:pt idx="2">
                  <c:v>17450</c:v>
                </c:pt>
                <c:pt idx="3">
                  <c:v>16446</c:v>
                </c:pt>
                <c:pt idx="4">
                  <c:v>14911</c:v>
                </c:pt>
                <c:pt idx="5">
                  <c:v>12415</c:v>
                </c:pt>
                <c:pt idx="6">
                  <c:v>14156</c:v>
                </c:pt>
                <c:pt idx="7">
                  <c:v>17511</c:v>
                </c:pt>
                <c:pt idx="8">
                  <c:v>16029</c:v>
                </c:pt>
                <c:pt idx="9">
                  <c:v>12346</c:v>
                </c:pt>
              </c:numCache>
            </c:numRef>
          </c:cat>
          <c:val>
            <c:numRef>
              <c:f>'Customer Analysis'!$E$52:$E$61</c:f>
              <c:numCache>
                <c:formatCode>\$#,##0.00;[Red]\-\$#,##0.00</c:formatCode>
                <c:ptCount val="10"/>
                <c:pt idx="0">
                  <c:v>280206.02</c:v>
                </c:pt>
                <c:pt idx="1">
                  <c:v>259657.3</c:v>
                </c:pt>
                <c:pt idx="2">
                  <c:v>194550.79</c:v>
                </c:pt>
                <c:pt idx="3">
                  <c:v>168472.5</c:v>
                </c:pt>
                <c:pt idx="4">
                  <c:v>143825.06</c:v>
                </c:pt>
                <c:pt idx="5">
                  <c:v>124914.53</c:v>
                </c:pt>
                <c:pt idx="6">
                  <c:v>117379.63</c:v>
                </c:pt>
                <c:pt idx="7">
                  <c:v>91062.38</c:v>
                </c:pt>
                <c:pt idx="8">
                  <c:v>81024.84</c:v>
                </c:pt>
                <c:pt idx="9">
                  <c:v>77183.600000000006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A-624A-AD34-9EA018262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0" sourceLinked="0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Orders — Top 10 Customers by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'Customer Analysis'!$F$51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232F3E"/>
            </a:solidFill>
            <a:ln>
              <a:noFill/>
              <a:prstDash val="solid"/>
            </a:ln>
          </c:spPr>
          <c:invertIfNegative val="0"/>
          <c:cat>
            <c:numRef>
              <c:f>'Customer Analysis'!$D$52:$D$61</c:f>
              <c:numCache>
                <c:formatCode>0</c:formatCode>
                <c:ptCount val="10"/>
                <c:pt idx="0">
                  <c:v>14646</c:v>
                </c:pt>
                <c:pt idx="1">
                  <c:v>18102</c:v>
                </c:pt>
                <c:pt idx="2">
                  <c:v>17450</c:v>
                </c:pt>
                <c:pt idx="3">
                  <c:v>16446</c:v>
                </c:pt>
                <c:pt idx="4">
                  <c:v>14911</c:v>
                </c:pt>
                <c:pt idx="5">
                  <c:v>12415</c:v>
                </c:pt>
                <c:pt idx="6">
                  <c:v>14156</c:v>
                </c:pt>
                <c:pt idx="7">
                  <c:v>17511</c:v>
                </c:pt>
                <c:pt idx="8">
                  <c:v>16029</c:v>
                </c:pt>
                <c:pt idx="9">
                  <c:v>12346</c:v>
                </c:pt>
              </c:numCache>
            </c:numRef>
          </c:cat>
          <c:val>
            <c:numRef>
              <c:f>'Customer Analysis'!$F$52:$F$61</c:f>
              <c:numCache>
                <c:formatCode>#,##0</c:formatCode>
                <c:ptCount val="10"/>
                <c:pt idx="0">
                  <c:v>73</c:v>
                </c:pt>
                <c:pt idx="1">
                  <c:v>60</c:v>
                </c:pt>
                <c:pt idx="2">
                  <c:v>46</c:v>
                </c:pt>
                <c:pt idx="3">
                  <c:v>2</c:v>
                </c:pt>
                <c:pt idx="4">
                  <c:v>201</c:v>
                </c:pt>
                <c:pt idx="5">
                  <c:v>21</c:v>
                </c:pt>
                <c:pt idx="6">
                  <c:v>55</c:v>
                </c:pt>
                <c:pt idx="7">
                  <c:v>31</c:v>
                </c:pt>
                <c:pt idx="8">
                  <c:v>63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A-AE4A-A729-D0710A6E4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0" sourceLinked="0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Reversal Value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'Returns &amp; Cancellations'!$H$51</c:f>
              <c:strCache>
                <c:ptCount val="1"/>
                <c:pt idx="0">
                  <c:v>Reversal Value</c:v>
                </c:pt>
              </c:strCache>
            </c:strRef>
          </c:tx>
          <c:spPr>
            <a:solidFill>
              <a:srgbClr val="C0392B"/>
            </a:solidFill>
            <a:ln>
              <a:noFill/>
              <a:prstDash val="solid"/>
            </a:ln>
          </c:spPr>
          <c:invertIfNegative val="0"/>
          <c:cat>
            <c:strRef>
              <c:f>'Returns &amp; Cancellations'!$D$52:$D$64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'Returns &amp; Cancellations'!$H$52:$H$64</c:f>
              <c:numCache>
                <c:formatCode>\$#,##0.00;[Red]\-\$#,##0.00</c:formatCode>
                <c:ptCount val="13"/>
                <c:pt idx="0">
                  <c:v>74789.119999999995</c:v>
                </c:pt>
                <c:pt idx="1">
                  <c:v>131364.29999999999</c:v>
                </c:pt>
                <c:pt idx="2">
                  <c:v>25569.24</c:v>
                </c:pt>
                <c:pt idx="3">
                  <c:v>34372.28</c:v>
                </c:pt>
                <c:pt idx="4">
                  <c:v>44601.5</c:v>
                </c:pt>
                <c:pt idx="5">
                  <c:v>47202.51</c:v>
                </c:pt>
                <c:pt idx="6">
                  <c:v>70616.78</c:v>
                </c:pt>
                <c:pt idx="7">
                  <c:v>37921.08</c:v>
                </c:pt>
                <c:pt idx="8">
                  <c:v>54333.75</c:v>
                </c:pt>
                <c:pt idx="9">
                  <c:v>38902.550000000003</c:v>
                </c:pt>
                <c:pt idx="10">
                  <c:v>84274.63</c:v>
                </c:pt>
                <c:pt idx="11">
                  <c:v>47740.08</c:v>
                </c:pt>
                <c:pt idx="12">
                  <c:v>205124.67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B-254B-82DF-814D334FF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Reversal Lines vs Invoices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'Returns &amp; Cancellations'!$E$51</c:f>
              <c:strCache>
                <c:ptCount val="1"/>
                <c:pt idx="0">
                  <c:v>Reversal Lines</c:v>
                </c:pt>
              </c:strCache>
            </c:strRef>
          </c:tx>
          <c:spPr>
            <a:solidFill>
              <a:srgbClr val="232F3E"/>
            </a:solidFill>
            <a:ln>
              <a:noFill/>
              <a:prstDash val="solid"/>
            </a:ln>
          </c:spPr>
          <c:invertIfNegative val="0"/>
          <c:cat>
            <c:strRef>
              <c:f>'Returns &amp; Cancellations'!$D$52:$D$64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'Returns &amp; Cancellations'!$E$52:$E$64</c:f>
              <c:numCache>
                <c:formatCode>#,##0</c:formatCode>
                <c:ptCount val="13"/>
                <c:pt idx="0">
                  <c:v>798</c:v>
                </c:pt>
                <c:pt idx="1">
                  <c:v>797</c:v>
                </c:pt>
                <c:pt idx="2">
                  <c:v>523</c:v>
                </c:pt>
                <c:pt idx="3">
                  <c:v>833</c:v>
                </c:pt>
                <c:pt idx="4">
                  <c:v>745</c:v>
                </c:pt>
                <c:pt idx="5">
                  <c:v>738</c:v>
                </c:pt>
                <c:pt idx="6">
                  <c:v>818</c:v>
                </c:pt>
                <c:pt idx="7">
                  <c:v>802</c:v>
                </c:pt>
                <c:pt idx="8">
                  <c:v>718</c:v>
                </c:pt>
                <c:pt idx="9">
                  <c:v>903</c:v>
                </c:pt>
                <c:pt idx="10">
                  <c:v>1346</c:v>
                </c:pt>
                <c:pt idx="11">
                  <c:v>1213</c:v>
                </c:pt>
                <c:pt idx="12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3-9E4D-9696-0324598F80E2}"/>
            </c:ext>
          </c:extLst>
        </c:ser>
        <c:ser>
          <c:idx val="1"/>
          <c:order val="1"/>
          <c:tx>
            <c:strRef>
              <c:f>'Returns &amp; Cancellations'!$F$51</c:f>
              <c:strCache>
                <c:ptCount val="1"/>
                <c:pt idx="0">
                  <c:v>Reversal Invoices</c:v>
                </c:pt>
              </c:strCache>
            </c:strRef>
          </c:tx>
          <c:spPr>
            <a:solidFill>
              <a:srgbClr val="FF9900"/>
            </a:solidFill>
            <a:ln>
              <a:noFill/>
              <a:prstDash val="solid"/>
            </a:ln>
          </c:spPr>
          <c:invertIfNegative val="0"/>
          <c:cat>
            <c:strRef>
              <c:f>'Returns &amp; Cancellations'!$D$52:$D$64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'Returns &amp; Cancellations'!$F$52:$F$64</c:f>
              <c:numCache>
                <c:formatCode>#,##0</c:formatCode>
                <c:ptCount val="13"/>
                <c:pt idx="0">
                  <c:v>396</c:v>
                </c:pt>
                <c:pt idx="1">
                  <c:v>356</c:v>
                </c:pt>
                <c:pt idx="2">
                  <c:v>267</c:v>
                </c:pt>
                <c:pt idx="3">
                  <c:v>452</c:v>
                </c:pt>
                <c:pt idx="4">
                  <c:v>426</c:v>
                </c:pt>
                <c:pt idx="5">
                  <c:v>431</c:v>
                </c:pt>
                <c:pt idx="6">
                  <c:v>436</c:v>
                </c:pt>
                <c:pt idx="7">
                  <c:v>387</c:v>
                </c:pt>
                <c:pt idx="8">
                  <c:v>328</c:v>
                </c:pt>
                <c:pt idx="9">
                  <c:v>431</c:v>
                </c:pt>
                <c:pt idx="10">
                  <c:v>508</c:v>
                </c:pt>
                <c:pt idx="11">
                  <c:v>578</c:v>
                </c:pt>
                <c:pt idx="12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3-9E4D-9696-0324598F8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B5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Reversal Rate — % of Monthly Gross Sales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'Returns &amp; Cancellations'!$M$51</c:f>
              <c:strCache>
                <c:ptCount val="1"/>
                <c:pt idx="0">
                  <c:v>Reversal Rate</c:v>
                </c:pt>
              </c:strCache>
            </c:strRef>
          </c:tx>
          <c:spPr>
            <a:ln w="28575">
              <a:solidFill>
                <a:srgbClr val="C0392B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C0392B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cat>
            <c:strRef>
              <c:f>'Returns &amp; Cancellations'!$J$52:$J$64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'Returns &amp; Cancellations'!$M$52:$M$64</c:f>
              <c:numCache>
                <c:formatCode>0.0%</c:formatCode>
                <c:ptCount val="13"/>
                <c:pt idx="0">
                  <c:v>9.0791466409784929E-2</c:v>
                </c:pt>
                <c:pt idx="1">
                  <c:v>0.19000728067403394</c:v>
                </c:pt>
                <c:pt idx="2">
                  <c:v>4.8830563012501015E-2</c:v>
                </c:pt>
                <c:pt idx="3">
                  <c:v>4.7896313825373231E-2</c:v>
                </c:pt>
                <c:pt idx="4">
                  <c:v>8.2931917151249979E-2</c:v>
                </c:pt>
                <c:pt idx="5">
                  <c:v>6.1259316598852837E-2</c:v>
                </c:pt>
                <c:pt idx="6">
                  <c:v>9.2704583283611627E-2</c:v>
                </c:pt>
                <c:pt idx="7">
                  <c:v>5.2725198415350921E-2</c:v>
                </c:pt>
                <c:pt idx="8">
                  <c:v>7.1572919287785183E-2</c:v>
                </c:pt>
                <c:pt idx="9">
                  <c:v>3.6749396536056259E-2</c:v>
                </c:pt>
                <c:pt idx="10">
                  <c:v>7.2966355327753488E-2</c:v>
                </c:pt>
                <c:pt idx="11">
                  <c:v>3.162649623666193E-2</c:v>
                </c:pt>
                <c:pt idx="12">
                  <c:v>0.32111305658668476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F-C64A-8C57-B95AE6920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Reversal Units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'Returns &amp; Cancellations'!$G$51</c:f>
              <c:strCache>
                <c:ptCount val="1"/>
                <c:pt idx="0">
                  <c:v>Reversal Units</c:v>
                </c:pt>
              </c:strCache>
            </c:strRef>
          </c:tx>
          <c:spPr>
            <a:solidFill>
              <a:srgbClr val="146EB4"/>
            </a:solidFill>
            <a:ln>
              <a:noFill/>
              <a:prstDash val="solid"/>
            </a:ln>
          </c:spPr>
          <c:invertIfNegative val="0"/>
          <c:cat>
            <c:strRef>
              <c:f>'Returns &amp; Cancellations'!$D$52:$D$64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'Returns &amp; Cancellations'!$G$52:$G$64</c:f>
              <c:numCache>
                <c:formatCode>#,##0</c:formatCode>
                <c:ptCount val="13"/>
                <c:pt idx="0">
                  <c:v>20088</c:v>
                </c:pt>
                <c:pt idx="1">
                  <c:v>88750</c:v>
                </c:pt>
                <c:pt idx="2">
                  <c:v>8706</c:v>
                </c:pt>
                <c:pt idx="3">
                  <c:v>33078</c:v>
                </c:pt>
                <c:pt idx="4">
                  <c:v>23078</c:v>
                </c:pt>
                <c:pt idx="5">
                  <c:v>19034</c:v>
                </c:pt>
                <c:pt idx="6">
                  <c:v>52714</c:v>
                </c:pt>
                <c:pt idx="7">
                  <c:v>16423</c:v>
                </c:pt>
                <c:pt idx="8">
                  <c:v>18817</c:v>
                </c:pt>
                <c:pt idx="9">
                  <c:v>25599</c:v>
                </c:pt>
                <c:pt idx="10">
                  <c:v>58213</c:v>
                </c:pt>
                <c:pt idx="11">
                  <c:v>31312</c:v>
                </c:pt>
                <c:pt idx="12">
                  <c:v>88719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C-604E-8B92-24CCB4F55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Gross Sales by Day of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'Time Analysis'!$E$51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FF990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404B5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'Time Analysis'!$D$52:$D$58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'Time Analysis'!$E$52:$E$58</c:f>
              <c:numCache>
                <c:formatCode>\$#,##0.00;[Red]\-\$#,##0.00</c:formatCode>
                <c:ptCount val="7"/>
                <c:pt idx="0">
                  <c:v>1779575.041</c:v>
                </c:pt>
                <c:pt idx="1">
                  <c:v>2178632.611</c:v>
                </c:pt>
                <c:pt idx="2">
                  <c:v>1851147.81</c:v>
                </c:pt>
                <c:pt idx="3">
                  <c:v>2203161.2400000002</c:v>
                </c:pt>
                <c:pt idx="4">
                  <c:v>1840340.2309999999</c:v>
                </c:pt>
                <c:pt idx="5">
                  <c:v>0</c:v>
                </c:pt>
                <c:pt idx="6">
                  <c:v>813827.61100000003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5-0A4D-8275-1B8DBBB4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.0,,&quot;M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Orders by Day of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'Time Analysis'!$F$51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232F3E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404B5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'Time Analysis'!$D$52:$D$58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'Time Analysis'!$F$52:$F$58</c:f>
              <c:numCache>
                <c:formatCode>#,##0</c:formatCode>
                <c:ptCount val="7"/>
                <c:pt idx="0">
                  <c:v>3126</c:v>
                </c:pt>
                <c:pt idx="1">
                  <c:v>3554</c:v>
                </c:pt>
                <c:pt idx="2">
                  <c:v>3690</c:v>
                </c:pt>
                <c:pt idx="3">
                  <c:v>4246</c:v>
                </c:pt>
                <c:pt idx="4">
                  <c:v>3140</c:v>
                </c:pt>
                <c:pt idx="5">
                  <c:v>0</c:v>
                </c:pt>
                <c:pt idx="6">
                  <c:v>2204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A-E345-B536-5975C5ECF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Gross Sales by Hour of Day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'Time Analysis'!$J$51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rgbClr val="146EB4"/>
            </a:solidFill>
            <a:ln>
              <a:noFill/>
              <a:prstDash val="solid"/>
            </a:ln>
          </c:spPr>
          <c:invertIfNegative val="0"/>
          <c:cat>
            <c:numRef>
              <c:f>'Time Analysis'!$I$52:$I$66</c:f>
              <c:numCache>
                <c:formatCode>0":00"</c:formatCode>
                <c:ptCount val="1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'Time Analysis'!$J$52:$J$66</c:f>
              <c:numCache>
                <c:formatCode>\$#,##0.00;[Red]\-\$#,##0.00</c:formatCode>
                <c:ptCount val="15"/>
                <c:pt idx="0">
                  <c:v>4.25</c:v>
                </c:pt>
                <c:pt idx="1">
                  <c:v>31059.21</c:v>
                </c:pt>
                <c:pt idx="2">
                  <c:v>283868.52</c:v>
                </c:pt>
                <c:pt idx="3">
                  <c:v>990267.821</c:v>
                </c:pt>
                <c:pt idx="4">
                  <c:v>1446742.7009999999</c:v>
                </c:pt>
                <c:pt idx="5">
                  <c:v>1239954.44</c:v>
                </c:pt>
                <c:pt idx="6">
                  <c:v>1444245.88</c:v>
                </c:pt>
                <c:pt idx="7">
                  <c:v>1265736.3</c:v>
                </c:pt>
                <c:pt idx="8">
                  <c:v>1181812.371</c:v>
                </c:pt>
                <c:pt idx="9">
                  <c:v>1352972.18</c:v>
                </c:pt>
                <c:pt idx="10">
                  <c:v>754006.56</c:v>
                </c:pt>
                <c:pt idx="11">
                  <c:v>461603.49099999998</c:v>
                </c:pt>
                <c:pt idx="12">
                  <c:v>144813.04999999999</c:v>
                </c:pt>
                <c:pt idx="13">
                  <c:v>50665.01</c:v>
                </c:pt>
                <c:pt idx="14">
                  <c:v>18932.759999999998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0-A34B-8F18-2EF071CE1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0&quot;:00&quot;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\$#,##0.0,,&quot;M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Orders by Hour of Day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'Time Analysis'!$K$51</c:f>
              <c:strCache>
                <c:ptCount val="1"/>
                <c:pt idx="0">
                  <c:v>Orders</c:v>
                </c:pt>
              </c:strCache>
            </c:strRef>
          </c:tx>
          <c:spPr>
            <a:ln w="28575">
              <a:solidFill>
                <a:srgbClr val="2A9D8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A9D8F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cat>
            <c:numRef>
              <c:f>'Time Analysis'!$I$52:$I$66</c:f>
              <c:numCache>
                <c:formatCode>0":00"</c:formatCode>
                <c:ptCount val="1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'Time Analysis'!$K$52:$K$66</c:f>
              <c:numCache>
                <c:formatCode>#,##0</c:formatCode>
                <c:ptCount val="15"/>
                <c:pt idx="0">
                  <c:v>1</c:v>
                </c:pt>
                <c:pt idx="1">
                  <c:v>29</c:v>
                </c:pt>
                <c:pt idx="2">
                  <c:v>566</c:v>
                </c:pt>
                <c:pt idx="3">
                  <c:v>1484</c:v>
                </c:pt>
                <c:pt idx="4">
                  <c:v>2361</c:v>
                </c:pt>
                <c:pt idx="5">
                  <c:v>2396</c:v>
                </c:pt>
                <c:pt idx="6">
                  <c:v>3220</c:v>
                </c:pt>
                <c:pt idx="7">
                  <c:v>2753</c:v>
                </c:pt>
                <c:pt idx="8">
                  <c:v>2457</c:v>
                </c:pt>
                <c:pt idx="9">
                  <c:v>2336</c:v>
                </c:pt>
                <c:pt idx="10">
                  <c:v>1335</c:v>
                </c:pt>
                <c:pt idx="11">
                  <c:v>667</c:v>
                </c:pt>
                <c:pt idx="12">
                  <c:v>192</c:v>
                </c:pt>
                <c:pt idx="13">
                  <c:v>146</c:v>
                </c:pt>
                <c:pt idx="1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20-104D-A997-021A24BBF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&quot;:00&quot;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Data Quality Issues by Row Count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FF990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404B5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Quality'!$D$32:$D$37</c:f>
              <c:strCache>
                <c:ptCount val="6"/>
                <c:pt idx="0">
                  <c:v>Rows with missing CustomerID</c:v>
                </c:pt>
                <c:pt idx="1">
                  <c:v>Rows with missing Description</c:v>
                </c:pt>
                <c:pt idx="2">
                  <c:v>Cancellation invoice rows (InvoiceNo starts C)</c:v>
                </c:pt>
                <c:pt idx="3">
                  <c:v>Negative quantity rows</c:v>
                </c:pt>
                <c:pt idx="4">
                  <c:v>Zero/negative unit price rows</c:v>
                </c:pt>
                <c:pt idx="5">
                  <c:v>Exact duplicate source rows</c:v>
                </c:pt>
              </c:strCache>
            </c:strRef>
          </c:cat>
          <c:val>
            <c:numRef>
              <c:f>'Data Quality'!$E$32:$E$37</c:f>
              <c:numCache>
                <c:formatCode>#,##0</c:formatCode>
                <c:ptCount val="6"/>
                <c:pt idx="0">
                  <c:v>135080</c:v>
                </c:pt>
                <c:pt idx="1">
                  <c:v>1454</c:v>
                </c:pt>
                <c:pt idx="2">
                  <c:v>9288</c:v>
                </c:pt>
                <c:pt idx="3">
                  <c:v>10624</c:v>
                </c:pt>
                <c:pt idx="4">
                  <c:v>2517</c:v>
                </c:pt>
                <c:pt idx="5">
                  <c:v>5268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3-C54D-ADD8-CEE7EAEC2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D9DEE5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E8ECF1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04B5A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232F3E"/>
                </a:solidFill>
                <a:latin typeface="Arial"/>
              </a:defRPr>
            </a:pPr>
            <a:r>
              <a:rPr lang="en-US" sz="1100" b="1">
                <a:solidFill>
                  <a:srgbClr val="232F3E"/>
                </a:solidFill>
                <a:latin typeface="Arial"/>
              </a:rPr>
              <a:t>Source Rows Used for Sales Metrics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'Data Quality'!$E$44</c:f>
              <c:strCache>
                <c:ptCount val="1"/>
                <c:pt idx="0">
                  <c:v>Rows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46EB4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1C-F848-A5DD-2B95B52256E4}"/>
              </c:ext>
            </c:extLst>
          </c:dPt>
          <c:dPt>
            <c:idx val="1"/>
            <c:bubble3D val="0"/>
            <c:spPr>
              <a:solidFill>
                <a:srgbClr val="C9D1DC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1C-F848-A5DD-2B95B52256E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'Data Quality'!$D$45:$D$46</c:f>
              <c:strCache>
                <c:ptCount val="2"/>
                <c:pt idx="0">
                  <c:v>Eligible positive-sale rows</c:v>
                </c:pt>
                <c:pt idx="1">
                  <c:v>Other rows (not used for sales metrics)</c:v>
                </c:pt>
              </c:strCache>
            </c:strRef>
          </c:cat>
          <c:val>
            <c:numRef>
              <c:f>'Data Quality'!$E$45:$E$46</c:f>
              <c:numCache>
                <c:formatCode>#,##0</c:formatCode>
                <c:ptCount val="2"/>
                <c:pt idx="0">
                  <c:v>530104</c:v>
                </c:pt>
                <c:pt idx="1">
                  <c:v>11805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1C-F848-A5DD-2B95B5225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</c:plotArea>
    <c:legend>
      <c:legendPos val="b"/>
      <c:overlay val="1"/>
      <c:txPr>
        <a:bodyPr/>
        <a:lstStyle/>
        <a:p>
          <a:pPr>
            <a:defRPr sz="900" b="0">
              <a:solidFill>
                <a:srgbClr val="404B5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EE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4" Type="http://schemas.openxmlformats.org/officeDocument/2006/relationships/chart" Target="../charts/chart3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46182</xdr:colOff>
      <xdr:row>7</xdr:row>
      <xdr:rowOff>57727</xdr:rowOff>
    </xdr:from>
    <xdr:to>
      <xdr:col>7</xdr:col>
      <xdr:colOff>431321</xdr:colOff>
      <xdr:row>18</xdr:row>
      <xdr:rowOff>66040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503208</xdr:colOff>
      <xdr:row>30</xdr:row>
      <xdr:rowOff>107831</xdr:rowOff>
    </xdr:from>
    <xdr:to>
      <xdr:col>14</xdr:col>
      <xdr:colOff>970488</xdr:colOff>
      <xdr:row>44</xdr:row>
      <xdr:rowOff>10160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40640</xdr:colOff>
      <xdr:row>19</xdr:row>
      <xdr:rowOff>0</xdr:rowOff>
    </xdr:from>
    <xdr:to>
      <xdr:col>8</xdr:col>
      <xdr:colOff>416560</xdr:colOff>
      <xdr:row>29</xdr:row>
      <xdr:rowOff>46946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489405</xdr:colOff>
      <xdr:row>30</xdr:row>
      <xdr:rowOff>119812</xdr:rowOff>
    </xdr:from>
    <xdr:to>
      <xdr:col>12</xdr:col>
      <xdr:colOff>441480</xdr:colOff>
      <xdr:row>44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39686</xdr:colOff>
      <xdr:row>30</xdr:row>
      <xdr:rowOff>143774</xdr:rowOff>
    </xdr:from>
    <xdr:to>
      <xdr:col>7</xdr:col>
      <xdr:colOff>443301</xdr:colOff>
      <xdr:row>44</xdr:row>
      <xdr:rowOff>40640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470959</xdr:colOff>
      <xdr:row>19</xdr:row>
      <xdr:rowOff>21167</xdr:rowOff>
    </xdr:from>
    <xdr:to>
      <xdr:col>14</xdr:col>
      <xdr:colOff>963448</xdr:colOff>
      <xdr:row>29</xdr:row>
      <xdr:rowOff>25050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496118</xdr:colOff>
      <xdr:row>7</xdr:row>
      <xdr:rowOff>71887</xdr:rowOff>
    </xdr:from>
    <xdr:to>
      <xdr:col>9</xdr:col>
      <xdr:colOff>718868</xdr:colOff>
      <xdr:row>18</xdr:row>
      <xdr:rowOff>58851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790755</xdr:colOff>
      <xdr:row>7</xdr:row>
      <xdr:rowOff>84668</xdr:rowOff>
    </xdr:from>
    <xdr:to>
      <xdr:col>14</xdr:col>
      <xdr:colOff>968374</xdr:colOff>
      <xdr:row>18</xdr:row>
      <xdr:rowOff>70834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44824</xdr:colOff>
      <xdr:row>15</xdr:row>
      <xdr:rowOff>44824</xdr:rowOff>
    </xdr:from>
    <xdr:ext cx="6222350" cy="259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704022</xdr:colOff>
      <xdr:row>15</xdr:row>
      <xdr:rowOff>29882</xdr:rowOff>
    </xdr:from>
    <xdr:ext cx="4985578" cy="2592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8</xdr:col>
      <xdr:colOff>857250</xdr:colOff>
      <xdr:row>28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47625</xdr:colOff>
      <xdr:row>15</xdr:row>
      <xdr:rowOff>0</xdr:rowOff>
    </xdr:from>
    <xdr:to>
      <xdr:col>14</xdr:col>
      <xdr:colOff>904875</xdr:colOff>
      <xdr:row>28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32</xdr:row>
      <xdr:rowOff>0</xdr:rowOff>
    </xdr:from>
    <xdr:to>
      <xdr:col>8</xdr:col>
      <xdr:colOff>857250</xdr:colOff>
      <xdr:row>46</xdr:row>
      <xdr:rowOff>40640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47625</xdr:colOff>
      <xdr:row>32</xdr:row>
      <xdr:rowOff>0</xdr:rowOff>
    </xdr:from>
    <xdr:to>
      <xdr:col>14</xdr:col>
      <xdr:colOff>904875</xdr:colOff>
      <xdr:row>46</xdr:row>
      <xdr:rowOff>40640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9</xdr:col>
      <xdr:colOff>702235</xdr:colOff>
      <xdr:row>29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851647</xdr:colOff>
      <xdr:row>15</xdr:row>
      <xdr:rowOff>0</xdr:rowOff>
    </xdr:from>
    <xdr:to>
      <xdr:col>13</xdr:col>
      <xdr:colOff>904875</xdr:colOff>
      <xdr:row>29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32</xdr:row>
      <xdr:rowOff>0</xdr:rowOff>
    </xdr:from>
    <xdr:to>
      <xdr:col>7</xdr:col>
      <xdr:colOff>876300</xdr:colOff>
      <xdr:row>46</xdr:row>
      <xdr:rowOff>119529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66675</xdr:colOff>
      <xdr:row>32</xdr:row>
      <xdr:rowOff>0</xdr:rowOff>
    </xdr:from>
    <xdr:to>
      <xdr:col>13</xdr:col>
      <xdr:colOff>904875</xdr:colOff>
      <xdr:row>46</xdr:row>
      <xdr:rowOff>119529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6</xdr:col>
      <xdr:colOff>904875</xdr:colOff>
      <xdr:row>29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95250</xdr:colOff>
      <xdr:row>15</xdr:row>
      <xdr:rowOff>0</xdr:rowOff>
    </xdr:from>
    <xdr:to>
      <xdr:col>12</xdr:col>
      <xdr:colOff>904875</xdr:colOff>
      <xdr:row>29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32</xdr:row>
      <xdr:rowOff>0</xdr:rowOff>
    </xdr:from>
    <xdr:to>
      <xdr:col>6</xdr:col>
      <xdr:colOff>904875</xdr:colOff>
      <xdr:row>46</xdr:row>
      <xdr:rowOff>119529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95250</xdr:colOff>
      <xdr:row>32</xdr:row>
      <xdr:rowOff>0</xdr:rowOff>
    </xdr:from>
    <xdr:to>
      <xdr:col>12</xdr:col>
      <xdr:colOff>904875</xdr:colOff>
      <xdr:row>46</xdr:row>
      <xdr:rowOff>119529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8</xdr:col>
      <xdr:colOff>857250</xdr:colOff>
      <xdr:row>29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47625</xdr:colOff>
      <xdr:row>15</xdr:row>
      <xdr:rowOff>0</xdr:rowOff>
    </xdr:from>
    <xdr:to>
      <xdr:col>14</xdr:col>
      <xdr:colOff>904875</xdr:colOff>
      <xdr:row>29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32</xdr:row>
      <xdr:rowOff>0</xdr:rowOff>
    </xdr:from>
    <xdr:to>
      <xdr:col>8</xdr:col>
      <xdr:colOff>857250</xdr:colOff>
      <xdr:row>46</xdr:row>
      <xdr:rowOff>119529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47625</xdr:colOff>
      <xdr:row>32</xdr:row>
      <xdr:rowOff>0</xdr:rowOff>
    </xdr:from>
    <xdr:to>
      <xdr:col>14</xdr:col>
      <xdr:colOff>904875</xdr:colOff>
      <xdr:row>46</xdr:row>
      <xdr:rowOff>119529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8</xdr:col>
      <xdr:colOff>857250</xdr:colOff>
      <xdr:row>29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47625</xdr:colOff>
      <xdr:row>15</xdr:row>
      <xdr:rowOff>0</xdr:rowOff>
    </xdr:from>
    <xdr:to>
      <xdr:col>14</xdr:col>
      <xdr:colOff>904875</xdr:colOff>
      <xdr:row>29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32</xdr:row>
      <xdr:rowOff>0</xdr:rowOff>
    </xdr:from>
    <xdr:to>
      <xdr:col>8</xdr:col>
      <xdr:colOff>857250</xdr:colOff>
      <xdr:row>46</xdr:row>
      <xdr:rowOff>119529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47625</xdr:colOff>
      <xdr:row>32</xdr:row>
      <xdr:rowOff>0</xdr:rowOff>
    </xdr:from>
    <xdr:to>
      <xdr:col>14</xdr:col>
      <xdr:colOff>904875</xdr:colOff>
      <xdr:row>46</xdr:row>
      <xdr:rowOff>119529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8</xdr:col>
      <xdr:colOff>857250</xdr:colOff>
      <xdr:row>29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47625</xdr:colOff>
      <xdr:row>15</xdr:row>
      <xdr:rowOff>0</xdr:rowOff>
    </xdr:from>
    <xdr:to>
      <xdr:col>14</xdr:col>
      <xdr:colOff>904875</xdr:colOff>
      <xdr:row>29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32</xdr:row>
      <xdr:rowOff>0</xdr:rowOff>
    </xdr:from>
    <xdr:to>
      <xdr:col>8</xdr:col>
      <xdr:colOff>857250</xdr:colOff>
      <xdr:row>46</xdr:row>
      <xdr:rowOff>119529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47625</xdr:colOff>
      <xdr:row>32</xdr:row>
      <xdr:rowOff>0</xdr:rowOff>
    </xdr:from>
    <xdr:to>
      <xdr:col>14</xdr:col>
      <xdr:colOff>904875</xdr:colOff>
      <xdr:row>46</xdr:row>
      <xdr:rowOff>119529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29881</xdr:colOff>
      <xdr:row>9</xdr:row>
      <xdr:rowOff>59764</xdr:rowOff>
    </xdr:from>
    <xdr:to>
      <xdr:col>5</xdr:col>
      <xdr:colOff>3062940</xdr:colOff>
      <xdr:row>23</xdr:row>
      <xdr:rowOff>164352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3104963</xdr:colOff>
      <xdr:row>9</xdr:row>
      <xdr:rowOff>44823</xdr:rowOff>
    </xdr:from>
    <xdr:to>
      <xdr:col>5</xdr:col>
      <xdr:colOff>7238813</xdr:colOff>
      <xdr:row>23</xdr:row>
      <xdr:rowOff>149411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MonthlyAnalysis" displayName="tbl_MonthlyAnalysis" ref="D51:J64">
  <autoFilter ref="D51:J64" xr:uid="{00000000-0009-0000-0100-000001000000}"/>
  <tableColumns count="7">
    <tableColumn id="4" xr3:uid="{00000000-0010-0000-0000-000004000000}" name="Month"/>
    <tableColumn id="5" xr3:uid="{00000000-0010-0000-0000-000005000000}" name="Gross Sales"/>
    <tableColumn id="6" xr3:uid="{00000000-0010-0000-0000-000006000000}" name="Orders"/>
    <tableColumn id="7" xr3:uid="{00000000-0010-0000-0000-000007000000}" name="Customers"/>
    <tableColumn id="8" xr3:uid="{00000000-0010-0000-0000-000008000000}" name="Units Sold"/>
    <tableColumn id="9" xr3:uid="{00000000-0010-0000-0000-000009000000}" name="Average Order Value"/>
    <tableColumn id="10" xr3:uid="{00000000-0010-0000-0000-00000A000000}" name="MoM Sales Change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ountryAnalysis" displayName="tbl_CountryAnalysis" ref="D51:J89">
  <autoFilter ref="D51:J89" xr:uid="{00000000-0009-0000-0100-000002000000}"/>
  <tableColumns count="7">
    <tableColumn id="4" xr3:uid="{00000000-0010-0000-0100-000004000000}" name="Country"/>
    <tableColumn id="5" xr3:uid="{00000000-0010-0000-0100-000005000000}" name="Gross Sales"/>
    <tableColumn id="6" xr3:uid="{00000000-0010-0000-0100-000006000000}" name="Orders"/>
    <tableColumn id="7" xr3:uid="{00000000-0010-0000-0100-000007000000}" name="Customers"/>
    <tableColumn id="8" xr3:uid="{00000000-0010-0000-0100-000008000000}" name="Units Sold"/>
    <tableColumn id="9" xr3:uid="{00000000-0010-0000-0100-000009000000}" name="Sales Share"/>
    <tableColumn id="10" xr3:uid="{00000000-0010-0000-0100-00000A000000}" name="Average Order Value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roductAnalysis" displayName="tbl_ProductAnalysis" ref="D51:J251">
  <autoFilter ref="D51:J251" xr:uid="{00000000-0009-0000-0100-000003000000}"/>
  <tableColumns count="7">
    <tableColumn id="4" xr3:uid="{00000000-0010-0000-0200-000004000000}" name="Stock Code"/>
    <tableColumn id="5" xr3:uid="{00000000-0010-0000-0200-000005000000}" name="Description"/>
    <tableColumn id="6" xr3:uid="{00000000-0010-0000-0200-000006000000}" name="Gross Sales"/>
    <tableColumn id="7" xr3:uid="{00000000-0010-0000-0200-000007000000}" name="Units Sold"/>
    <tableColumn id="8" xr3:uid="{00000000-0010-0000-0200-000008000000}" name="Orders"/>
    <tableColumn id="9" xr3:uid="{00000000-0010-0000-0200-000009000000}" name="Customers"/>
    <tableColumn id="10" xr3:uid="{00000000-0010-0000-0200-00000A000000}" name="Sales Share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ustomerAnalysis" displayName="tbl_CustomerAnalysis" ref="D51:K551">
  <autoFilter ref="D51:K551" xr:uid="{00000000-0009-0000-0100-000004000000}"/>
  <tableColumns count="8">
    <tableColumn id="4" xr3:uid="{00000000-0010-0000-0300-000004000000}" name="Customer ID"/>
    <tableColumn id="5" xr3:uid="{00000000-0010-0000-0300-000005000000}" name="Gross Sales"/>
    <tableColumn id="6" xr3:uid="{00000000-0010-0000-0300-000006000000}" name="Orders"/>
    <tableColumn id="7" xr3:uid="{00000000-0010-0000-0300-000007000000}" name="Units Sold"/>
    <tableColumn id="8" xr3:uid="{00000000-0010-0000-0300-000008000000}" name="First Purchase"/>
    <tableColumn id="9" xr3:uid="{00000000-0010-0000-0300-000009000000}" name="Last Purchase"/>
    <tableColumn id="10" xr3:uid="{00000000-0010-0000-0300-00000A000000}" name="Average Order Value"/>
    <tableColumn id="11" xr3:uid="{00000000-0010-0000-0300-00000B000000}" name="Customer Type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ReturnsCancellations" displayName="tbl_ReturnsCancellations" ref="D51:H64">
  <autoFilter ref="D51:H64" xr:uid="{00000000-0009-0000-0100-000005000000}"/>
  <tableColumns count="5">
    <tableColumn id="4" xr3:uid="{00000000-0010-0000-0400-000004000000}" name="Month"/>
    <tableColumn id="5" xr3:uid="{00000000-0010-0000-0400-000005000000}" name="Reversal Lines"/>
    <tableColumn id="6" xr3:uid="{00000000-0010-0000-0400-000006000000}" name="Reversal Invoices"/>
    <tableColumn id="7" xr3:uid="{00000000-0010-0000-0400-000007000000}" name="Reversal Units"/>
    <tableColumn id="8" xr3:uid="{00000000-0010-0000-0400-000008000000}" name="Reversal Value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TimeAnalysis" displayName="tbl_TimeAnalysis" ref="D51:G58">
  <autoFilter ref="D51:G58" xr:uid="{00000000-0009-0000-0100-000006000000}"/>
  <tableColumns count="4">
    <tableColumn id="4" xr3:uid="{00000000-0010-0000-0500-000004000000}" name="Day of Week"/>
    <tableColumn id="5" xr3:uid="{00000000-0010-0000-0500-000005000000}" name="Gross Sales"/>
    <tableColumn id="6" xr3:uid="{00000000-0010-0000-0500-000006000000}" name="Orders"/>
    <tableColumn id="7" xr3:uid="{00000000-0010-0000-0500-000007000000}" name="Units Sold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ataQuality" displayName="tbl_DataQuality" ref="D28:F41">
  <autoFilter ref="D28:F41" xr:uid="{00000000-0009-0000-0100-000007000000}"/>
  <tableColumns count="3">
    <tableColumn id="4" xr3:uid="{00000000-0010-0000-0600-000004000000}" name="Check"/>
    <tableColumn id="5" xr3:uid="{00000000-0010-0000-0600-000005000000}" name="Result"/>
    <tableColumn id="6" xr3:uid="{00000000-0010-0000-0600-000006000000}" name="Interpretation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DataDictionary" displayName="tbl_DataDictionary" ref="D12:E27">
  <autoFilter ref="D12:E27" xr:uid="{00000000-0009-0000-0100-000008000000}"/>
  <tableColumns count="2">
    <tableColumn id="4" xr3:uid="{00000000-0010-0000-0700-000004000000}" name="Topic"/>
    <tableColumn id="5" xr3:uid="{00000000-0010-0000-0700-000005000000}" name="Definition / Treatment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  <pageSetUpPr fitToPage="1"/>
  </sheetPr>
  <dimension ref="B1:O85"/>
  <sheetViews>
    <sheetView showGridLines="0" tabSelected="1" zoomScaleNormal="100"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8.83203125" defaultRowHeight="13" x14ac:dyDescent="0.15"/>
  <cols>
    <col min="1" max="1" width="1.5" customWidth="1"/>
    <col min="2" max="2" width="26" customWidth="1"/>
    <col min="3" max="3" width="1.5" customWidth="1"/>
    <col min="4" max="15" width="13" customWidth="1"/>
  </cols>
  <sheetData>
    <row r="1" spans="2:15" ht="20" customHeight="1" x14ac:dyDescent="0.15">
      <c r="B1" s="65" t="s">
        <v>0</v>
      </c>
      <c r="D1" s="71" t="s">
        <v>1</v>
      </c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2:15" ht="20" customHeight="1" x14ac:dyDescent="0.15">
      <c r="B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2:15" ht="20" customHeight="1" x14ac:dyDescent="0.15">
      <c r="B3" s="46" t="s">
        <v>2</v>
      </c>
    </row>
    <row r="4" spans="2:15" ht="20" customHeight="1" x14ac:dyDescent="0.15">
      <c r="B4" s="47" t="s">
        <v>3</v>
      </c>
      <c r="D4" s="67" t="s">
        <v>4</v>
      </c>
      <c r="E4" s="75"/>
      <c r="F4" s="67" t="s">
        <v>5</v>
      </c>
      <c r="G4" s="75"/>
      <c r="H4" s="67" t="s">
        <v>6</v>
      </c>
      <c r="I4" s="75"/>
      <c r="J4" s="67" t="s">
        <v>7</v>
      </c>
      <c r="K4" s="75"/>
      <c r="L4" s="67" t="s">
        <v>8</v>
      </c>
      <c r="M4" s="75"/>
      <c r="N4" s="67" t="s">
        <v>9</v>
      </c>
      <c r="O4" s="75"/>
    </row>
    <row r="5" spans="2:15" ht="20" customHeight="1" x14ac:dyDescent="0.15">
      <c r="B5" s="47" t="s">
        <v>10</v>
      </c>
      <c r="D5" s="79">
        <f>SUM('Monthly Analysis'!$E$52:$E$64)</f>
        <v>10666684.544</v>
      </c>
      <c r="E5" s="75"/>
      <c r="F5" s="80">
        <f>SUM('Monthly Analysis'!$E$52:$E$64)/SUM('Monthly Analysis'!$F$52:$F$64)</f>
        <v>534.40303326653304</v>
      </c>
      <c r="G5" s="75"/>
      <c r="H5" s="74">
        <f>SUM('Monthly Analysis'!$H$52:$H$64)</f>
        <v>5588376</v>
      </c>
      <c r="I5" s="75"/>
      <c r="J5" s="77">
        <f>SUMIF('Customer Analysis'!$M$52:$M$53,"Repeat",'Customer Analysis'!$N$52:$N$53)/SUM('Customer Analysis'!$N$52:$N$53)</f>
        <v>0.65583218072844629</v>
      </c>
      <c r="K5" s="75"/>
      <c r="L5" s="81">
        <f>SUM('Returns &amp; Cancellations'!$H$52:$H$64)</f>
        <v>896812.49</v>
      </c>
      <c r="M5" s="75"/>
      <c r="N5" s="74">
        <f>'Data Quality'!$E$41</f>
        <v>3922</v>
      </c>
      <c r="O5" s="75"/>
    </row>
    <row r="6" spans="2:15" ht="20" customHeight="1" x14ac:dyDescent="0.15">
      <c r="B6" s="47" t="s">
        <v>11</v>
      </c>
      <c r="D6" s="76"/>
      <c r="E6" s="75"/>
      <c r="F6" s="76"/>
      <c r="G6" s="75"/>
      <c r="H6" s="76"/>
      <c r="I6" s="75"/>
      <c r="J6" s="76"/>
      <c r="K6" s="75"/>
      <c r="L6" s="76"/>
      <c r="M6" s="75"/>
      <c r="N6" s="76"/>
      <c r="O6" s="75"/>
    </row>
    <row r="7" spans="2:15" ht="20" customHeight="1" x14ac:dyDescent="0.15">
      <c r="B7" s="47" t="s">
        <v>12</v>
      </c>
      <c r="D7" s="60" t="s">
        <v>13</v>
      </c>
      <c r="E7" s="78"/>
      <c r="F7" s="60" t="s">
        <v>14</v>
      </c>
      <c r="G7" s="78"/>
      <c r="H7" s="60" t="s">
        <v>13</v>
      </c>
      <c r="I7" s="78"/>
      <c r="J7" s="60" t="s">
        <v>15</v>
      </c>
      <c r="K7" s="78"/>
      <c r="L7" s="60" t="str">
        <f>TEXT(SUM('Returns &amp; Cancellations'!$H$52:$H$64)/SUM('Monthly Analysis'!$E$52:$E$64),"0.0%")&amp;" of gross sales"</f>
        <v>8.4% of gross sales</v>
      </c>
      <c r="M7" s="78"/>
      <c r="N7" s="60" t="s">
        <v>16</v>
      </c>
      <c r="O7" s="78"/>
    </row>
    <row r="8" spans="2:15" ht="20" customHeight="1" x14ac:dyDescent="0.15">
      <c r="B8" s="47" t="s">
        <v>17</v>
      </c>
    </row>
    <row r="9" spans="2:15" ht="20" customHeight="1" x14ac:dyDescent="0.15">
      <c r="B9" s="47" t="s">
        <v>18</v>
      </c>
    </row>
    <row r="10" spans="2:15" ht="20" customHeight="1" x14ac:dyDescent="0.15">
      <c r="B10" s="47" t="s">
        <v>19</v>
      </c>
    </row>
    <row r="11" spans="2:15" ht="20" customHeight="1" x14ac:dyDescent="0.15">
      <c r="B11" s="47" t="s">
        <v>20</v>
      </c>
    </row>
    <row r="12" spans="2:15" ht="20" customHeight="1" x14ac:dyDescent="0.15">
      <c r="B12" s="47" t="s">
        <v>21</v>
      </c>
    </row>
    <row r="13" spans="2:15" ht="20" customHeight="1" x14ac:dyDescent="0.15">
      <c r="B13" s="48" t="s">
        <v>22</v>
      </c>
    </row>
    <row r="14" spans="2:15" ht="20" customHeight="1" x14ac:dyDescent="0.15">
      <c r="B14" s="48"/>
    </row>
    <row r="15" spans="2:15" ht="20" customHeight="1" x14ac:dyDescent="0.15">
      <c r="B15" s="48"/>
    </row>
    <row r="16" spans="2:15" ht="14" x14ac:dyDescent="0.15">
      <c r="B16" s="48"/>
    </row>
    <row r="17" spans="2:2" ht="14" x14ac:dyDescent="0.15">
      <c r="B17" s="48"/>
    </row>
    <row r="18" spans="2:2" ht="14" x14ac:dyDescent="0.15">
      <c r="B18" s="48"/>
    </row>
    <row r="19" spans="2:2" ht="14" x14ac:dyDescent="0.15">
      <c r="B19" s="48"/>
    </row>
    <row r="20" spans="2:2" ht="14" x14ac:dyDescent="0.15">
      <c r="B20" s="48"/>
    </row>
    <row r="21" spans="2:2" ht="14" x14ac:dyDescent="0.15">
      <c r="B21" s="48"/>
    </row>
    <row r="22" spans="2:2" ht="14" x14ac:dyDescent="0.15">
      <c r="B22" s="48"/>
    </row>
    <row r="23" spans="2:2" ht="14" x14ac:dyDescent="0.15">
      <c r="B23" s="48"/>
    </row>
    <row r="24" spans="2:2" ht="14" x14ac:dyDescent="0.15">
      <c r="B24" s="48"/>
    </row>
    <row r="25" spans="2:2" ht="14" x14ac:dyDescent="0.15">
      <c r="B25" s="48"/>
    </row>
    <row r="26" spans="2:2" ht="14" x14ac:dyDescent="0.15">
      <c r="B26" s="48"/>
    </row>
    <row r="27" spans="2:2" ht="14" x14ac:dyDescent="0.15">
      <c r="B27" s="48"/>
    </row>
    <row r="28" spans="2:2" ht="14" x14ac:dyDescent="0.15">
      <c r="B28" s="48"/>
    </row>
    <row r="29" spans="2:2" ht="14" x14ac:dyDescent="0.15">
      <c r="B29" s="48"/>
    </row>
    <row r="30" spans="2:2" ht="14" x14ac:dyDescent="0.15">
      <c r="B30" s="48"/>
    </row>
    <row r="31" spans="2:2" ht="14" x14ac:dyDescent="0.15">
      <c r="B31" s="48"/>
    </row>
    <row r="32" spans="2:2" ht="14" x14ac:dyDescent="0.15">
      <c r="B32" s="48"/>
    </row>
    <row r="33" spans="2:2" ht="14" x14ac:dyDescent="0.15">
      <c r="B33" s="48"/>
    </row>
    <row r="34" spans="2:2" ht="14" x14ac:dyDescent="0.15">
      <c r="B34" s="48"/>
    </row>
    <row r="35" spans="2:2" ht="14" x14ac:dyDescent="0.15">
      <c r="B35" s="48"/>
    </row>
    <row r="36" spans="2:2" ht="14" x14ac:dyDescent="0.15">
      <c r="B36" s="48"/>
    </row>
    <row r="37" spans="2:2" ht="14" x14ac:dyDescent="0.15">
      <c r="B37" s="48"/>
    </row>
    <row r="38" spans="2:2" ht="14" x14ac:dyDescent="0.15">
      <c r="B38" s="48"/>
    </row>
    <row r="39" spans="2:2" ht="14" x14ac:dyDescent="0.15">
      <c r="B39" s="48"/>
    </row>
    <row r="40" spans="2:2" ht="14" x14ac:dyDescent="0.15">
      <c r="B40" s="48"/>
    </row>
    <row r="41" spans="2:2" ht="14" x14ac:dyDescent="0.15">
      <c r="B41" s="48"/>
    </row>
    <row r="42" spans="2:2" ht="14" x14ac:dyDescent="0.15">
      <c r="B42" s="48"/>
    </row>
    <row r="43" spans="2:2" ht="14" x14ac:dyDescent="0.15">
      <c r="B43" s="48"/>
    </row>
    <row r="44" spans="2:2" ht="14" x14ac:dyDescent="0.15">
      <c r="B44" s="48"/>
    </row>
    <row r="45" spans="2:2" ht="14" x14ac:dyDescent="0.15">
      <c r="B45" s="48"/>
    </row>
    <row r="81" ht="22" customHeight="1" x14ac:dyDescent="0.15"/>
    <row r="82" ht="20" customHeight="1" x14ac:dyDescent="0.15"/>
    <row r="83" ht="25" customHeight="1" x14ac:dyDescent="0.15"/>
    <row r="84" ht="25" customHeight="1" x14ac:dyDescent="0.15"/>
    <row r="85" ht="20" customHeight="1" x14ac:dyDescent="0.15"/>
  </sheetData>
  <mergeCells count="20">
    <mergeCell ref="L7:M7"/>
    <mergeCell ref="L5:M6"/>
    <mergeCell ref="N5:O6"/>
    <mergeCell ref="N4:O4"/>
    <mergeCell ref="B1:B2"/>
    <mergeCell ref="H5:I6"/>
    <mergeCell ref="J5:K6"/>
    <mergeCell ref="J4:K4"/>
    <mergeCell ref="D7:E7"/>
    <mergeCell ref="H7:I7"/>
    <mergeCell ref="J7:K7"/>
    <mergeCell ref="D4:E4"/>
    <mergeCell ref="D1:O2"/>
    <mergeCell ref="D5:E6"/>
    <mergeCell ref="L4:M4"/>
    <mergeCell ref="N7:O7"/>
    <mergeCell ref="H4:I4"/>
    <mergeCell ref="F7:G7"/>
    <mergeCell ref="F5:G6"/>
    <mergeCell ref="F4:G4"/>
  </mergeCells>
  <hyperlinks>
    <hyperlink ref="B3" location="'Dashboard'!A1" display="1 · Dashboard" xr:uid="{00000000-0004-0000-0000-000000000000}"/>
    <hyperlink ref="B4" location="'Sales Analysis'!A1" display="2 · Sales Analysis" xr:uid="{00000000-0004-0000-0000-000001000000}"/>
    <hyperlink ref="B5" location="'Monthly Analysis'!A1" display="3 · Monthly Analysis" xr:uid="{00000000-0004-0000-0000-000002000000}"/>
    <hyperlink ref="B6" location="'Country Analysis'!A1" display="4 · Country Analysis" xr:uid="{00000000-0004-0000-0000-000003000000}"/>
    <hyperlink ref="B7" location="'Product Analysis'!A1" display="5 · Product Analysis" xr:uid="{00000000-0004-0000-0000-000004000000}"/>
    <hyperlink ref="B8" location="'Customer Analysis'!A1" display="6 · Customer Analysis" xr:uid="{00000000-0004-0000-0000-000005000000}"/>
    <hyperlink ref="B9" location="'Returns &amp; Cancellations'!A1" display="7 · Returns &amp; Cancellations" xr:uid="{00000000-0004-0000-0000-000006000000}"/>
    <hyperlink ref="B10" location="'Time Analysis'!A1" display="8 · Time Analysis" xr:uid="{00000000-0004-0000-0000-000007000000}"/>
    <hyperlink ref="B11" location="'Data Quality'!A1" display="9 · Data Quality" xr:uid="{00000000-0004-0000-0000-000008000000}"/>
    <hyperlink ref="B12" location="'Data Dictionary'!A1" display="10 · Data Dictionary" xr:uid="{00000000-0004-0000-0000-000009000000}"/>
    <hyperlink ref="B13" location="'Transaction Data'!A1" display="11 · Transaction Data" xr:uid="{00000000-0004-0000-0000-00000A000000}"/>
  </hyperlinks>
  <pageMargins left="0.75" right="0.75" top="1" bottom="1" header="0.5" footer="0.5"/>
  <pageSetup scale="4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6EB4"/>
    <pageSetUpPr fitToPage="1"/>
  </sheetPr>
  <dimension ref="B1:AA354"/>
  <sheetViews>
    <sheetView showGridLines="0" zoomScaleNormal="100" workbookViewId="0">
      <pane xSplit="3" ySplit="3" topLeftCell="D4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3" x14ac:dyDescent="0.15"/>
  <cols>
    <col min="1" max="1" width="1.5" customWidth="1"/>
    <col min="2" max="2" width="26" customWidth="1"/>
    <col min="3" max="3" width="1.5" customWidth="1"/>
    <col min="4" max="4" width="13" customWidth="1"/>
    <col min="5" max="5" width="16" customWidth="1"/>
    <col min="6" max="9" width="15" customWidth="1"/>
    <col min="10" max="11" width="15" hidden="1" customWidth="1"/>
    <col min="12" max="15" width="15" customWidth="1"/>
    <col min="16" max="17" width="3" hidden="1" customWidth="1"/>
    <col min="18" max="18" width="18" hidden="1" customWidth="1"/>
    <col min="19" max="19" width="16" hidden="1" customWidth="1"/>
    <col min="20" max="22" width="15" hidden="1" customWidth="1"/>
    <col min="23" max="27" width="13" hidden="1" customWidth="1"/>
  </cols>
  <sheetData>
    <row r="1" spans="2:22" ht="20" customHeight="1" x14ac:dyDescent="0.15">
      <c r="B1" s="65" t="s">
        <v>0</v>
      </c>
      <c r="D1" s="71" t="s">
        <v>27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V1" t="s">
        <v>28</v>
      </c>
    </row>
    <row r="2" spans="2:22" ht="20" customHeight="1" x14ac:dyDescent="0.15">
      <c r="B2" s="66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V2" t="s">
        <v>29</v>
      </c>
    </row>
    <row r="3" spans="2:22" ht="20" customHeight="1" x14ac:dyDescent="0.15">
      <c r="B3" s="51" t="s">
        <v>2</v>
      </c>
      <c r="D3" s="69" t="s">
        <v>29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V3" t="s">
        <v>30</v>
      </c>
    </row>
    <row r="4" spans="2:22" ht="20" customHeight="1" x14ac:dyDescent="0.15">
      <c r="B4" s="46" t="s">
        <v>3</v>
      </c>
      <c r="D4" s="67" t="s">
        <v>4</v>
      </c>
      <c r="E4" s="56"/>
      <c r="F4" s="67" t="s">
        <v>32</v>
      </c>
      <c r="G4" s="56"/>
      <c r="H4" s="67" t="s">
        <v>6</v>
      </c>
      <c r="I4" s="56"/>
      <c r="J4" s="95" t="s">
        <v>5</v>
      </c>
      <c r="K4" s="96"/>
      <c r="L4" s="67" t="s">
        <v>8</v>
      </c>
      <c r="M4" s="56"/>
      <c r="N4" s="67" t="s">
        <v>23</v>
      </c>
      <c r="O4" s="56"/>
      <c r="V4" t="s">
        <v>31</v>
      </c>
    </row>
    <row r="5" spans="2:22" ht="20" customHeight="1" x14ac:dyDescent="0.15">
      <c r="B5" s="47" t="s">
        <v>10</v>
      </c>
      <c r="D5" s="57">
        <f>IF($D$3="All Countries",SUM($S$53:$S$90),SUMIF($R$53:$R$90,$D$3,$S$53:$S$90))</f>
        <v>10666684.544000002</v>
      </c>
      <c r="E5" s="56"/>
      <c r="F5" s="59">
        <f>IF($D$3="All Countries",SUM($T$53:$T$90),SUMIF($R$53:$R$90,$D$3,$T$53:$T$90))</f>
        <v>19960</v>
      </c>
      <c r="G5" s="56"/>
      <c r="H5" s="62">
        <f>IF($D$3="All Countries",SUM($U$53:$U$90),SUMIF($R$53:$R$90,$D$3,$U$53:$U$90))</f>
        <v>5588376</v>
      </c>
      <c r="I5" s="56"/>
      <c r="J5" s="62">
        <f>IFERROR(D5/F5,0)</f>
        <v>534.40303326653316</v>
      </c>
      <c r="K5" s="56"/>
      <c r="L5" s="73">
        <f>896812.49</f>
        <v>896812.49</v>
      </c>
      <c r="M5" s="56"/>
      <c r="N5" s="64">
        <f>D5-L5</f>
        <v>9769872.0540000014</v>
      </c>
      <c r="O5" s="56"/>
      <c r="V5" t="s">
        <v>33</v>
      </c>
    </row>
    <row r="6" spans="2:22" ht="20" customHeight="1" x14ac:dyDescent="0.15">
      <c r="B6" s="53" t="s">
        <v>11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V6" t="s">
        <v>34</v>
      </c>
    </row>
    <row r="7" spans="2:22" ht="20" customHeight="1" thickBot="1" x14ac:dyDescent="0.2">
      <c r="B7" s="47" t="s">
        <v>12</v>
      </c>
      <c r="D7" s="60" t="s">
        <v>13</v>
      </c>
      <c r="E7" s="56"/>
      <c r="F7" s="60" t="s">
        <v>36</v>
      </c>
      <c r="G7" s="56"/>
      <c r="H7" s="60" t="s">
        <v>26</v>
      </c>
      <c r="I7" s="56"/>
      <c r="J7" s="93" t="s">
        <v>14</v>
      </c>
      <c r="K7" s="94"/>
      <c r="L7" s="60" t="s">
        <v>37</v>
      </c>
      <c r="M7" s="56"/>
      <c r="N7" s="60" t="s">
        <v>25</v>
      </c>
      <c r="O7" s="56"/>
      <c r="V7" t="s">
        <v>35</v>
      </c>
    </row>
    <row r="8" spans="2:22" ht="20" customHeight="1" x14ac:dyDescent="0.15">
      <c r="B8" s="47" t="s">
        <v>17</v>
      </c>
      <c r="V8" t="s">
        <v>38</v>
      </c>
    </row>
    <row r="9" spans="2:22" ht="20" customHeight="1" x14ac:dyDescent="0.15">
      <c r="B9" s="47" t="s">
        <v>18</v>
      </c>
      <c r="D9" s="61" t="s">
        <v>40</v>
      </c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V9" t="s">
        <v>39</v>
      </c>
    </row>
    <row r="10" spans="2:22" ht="20" customHeight="1" x14ac:dyDescent="0.15">
      <c r="B10" s="47" t="s">
        <v>19</v>
      </c>
      <c r="D10" s="1">
        <v>1</v>
      </c>
      <c r="E10" s="58" t="s">
        <v>1746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V10" t="s">
        <v>41</v>
      </c>
    </row>
    <row r="11" spans="2:22" ht="20" customHeight="1" x14ac:dyDescent="0.15">
      <c r="B11" s="47" t="s">
        <v>20</v>
      </c>
      <c r="D11" s="1">
        <v>2</v>
      </c>
      <c r="E11" s="58" t="s">
        <v>1747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V11" t="s">
        <v>42</v>
      </c>
    </row>
    <row r="12" spans="2:22" ht="20" customHeight="1" x14ac:dyDescent="0.15">
      <c r="B12" s="47" t="s">
        <v>21</v>
      </c>
      <c r="D12" s="1">
        <v>3</v>
      </c>
      <c r="E12" s="58" t="s">
        <v>1748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V12" t="s">
        <v>43</v>
      </c>
    </row>
    <row r="13" spans="2:22" ht="20" customHeight="1" x14ac:dyDescent="0.15">
      <c r="B13" s="47" t="s">
        <v>22</v>
      </c>
      <c r="D13" s="1">
        <v>4</v>
      </c>
      <c r="E13" s="58" t="s">
        <v>1749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V13" t="s">
        <v>44</v>
      </c>
    </row>
    <row r="14" spans="2:22" ht="20" customHeight="1" x14ac:dyDescent="0.15">
      <c r="B14" s="48"/>
      <c r="V14" t="s">
        <v>45</v>
      </c>
    </row>
    <row r="15" spans="2:22" ht="20" customHeight="1" x14ac:dyDescent="0.15">
      <c r="B15" s="48"/>
      <c r="D15" s="63" t="s">
        <v>47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V15" t="s">
        <v>46</v>
      </c>
    </row>
    <row r="16" spans="2:22" ht="20" customHeight="1" x14ac:dyDescent="0.15">
      <c r="B16" s="48"/>
      <c r="V16" t="s">
        <v>48</v>
      </c>
    </row>
    <row r="17" spans="2:22" ht="20" customHeight="1" x14ac:dyDescent="0.15">
      <c r="B17" s="48"/>
      <c r="V17" t="s">
        <v>49</v>
      </c>
    </row>
    <row r="18" spans="2:22" ht="20" customHeight="1" x14ac:dyDescent="0.15">
      <c r="B18" s="48"/>
      <c r="V18" t="s">
        <v>50</v>
      </c>
    </row>
    <row r="19" spans="2:22" ht="20" customHeight="1" x14ac:dyDescent="0.15">
      <c r="B19" s="48"/>
      <c r="V19" t="s">
        <v>51</v>
      </c>
    </row>
    <row r="20" spans="2:22" ht="20" customHeight="1" x14ac:dyDescent="0.15">
      <c r="B20" s="48"/>
      <c r="V20" t="s">
        <v>52</v>
      </c>
    </row>
    <row r="21" spans="2:22" ht="20" customHeight="1" x14ac:dyDescent="0.15">
      <c r="B21" s="48"/>
      <c r="V21" t="s">
        <v>53</v>
      </c>
    </row>
    <row r="22" spans="2:22" ht="20" customHeight="1" x14ac:dyDescent="0.15">
      <c r="B22" s="48"/>
      <c r="V22" t="s">
        <v>54</v>
      </c>
    </row>
    <row r="23" spans="2:22" ht="20" customHeight="1" x14ac:dyDescent="0.15">
      <c r="B23" s="48"/>
      <c r="V23" t="s">
        <v>55</v>
      </c>
    </row>
    <row r="24" spans="2:22" ht="20" customHeight="1" x14ac:dyDescent="0.15">
      <c r="B24" s="48"/>
      <c r="V24" t="s">
        <v>56</v>
      </c>
    </row>
    <row r="25" spans="2:22" ht="20" customHeight="1" x14ac:dyDescent="0.15">
      <c r="B25" s="48"/>
      <c r="V25" t="s">
        <v>57</v>
      </c>
    </row>
    <row r="26" spans="2:22" ht="20" customHeight="1" x14ac:dyDescent="0.15">
      <c r="B26" s="48"/>
      <c r="V26" t="s">
        <v>58</v>
      </c>
    </row>
    <row r="27" spans="2:22" ht="20" customHeight="1" x14ac:dyDescent="0.15">
      <c r="B27" s="48"/>
      <c r="D27" s="55" t="s">
        <v>73</v>
      </c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V27" t="s">
        <v>59</v>
      </c>
    </row>
    <row r="28" spans="2:22" ht="20" customHeight="1" x14ac:dyDescent="0.15">
      <c r="B28" s="48"/>
      <c r="D28" s="54" t="s">
        <v>74</v>
      </c>
      <c r="E28" s="54" t="s">
        <v>75</v>
      </c>
      <c r="F28" s="54" t="s">
        <v>76</v>
      </c>
      <c r="G28" s="54" t="s">
        <v>77</v>
      </c>
      <c r="H28" s="54" t="s">
        <v>78</v>
      </c>
      <c r="I28" s="54" t="s">
        <v>79</v>
      </c>
      <c r="J28" s="49" t="s">
        <v>74</v>
      </c>
      <c r="K28" s="49" t="s">
        <v>80</v>
      </c>
      <c r="V28" t="s">
        <v>60</v>
      </c>
    </row>
    <row r="29" spans="2:22" ht="32" customHeight="1" x14ac:dyDescent="0.15">
      <c r="B29" s="48"/>
      <c r="D29" s="4" t="s">
        <v>83</v>
      </c>
      <c r="E29" s="5">
        <v>823746.14</v>
      </c>
      <c r="F29" s="6">
        <v>1559</v>
      </c>
      <c r="G29" s="6">
        <v>359239</v>
      </c>
      <c r="H29" s="6">
        <v>528.38110327132779</v>
      </c>
      <c r="I29" s="5"/>
      <c r="J29" t="s">
        <v>83</v>
      </c>
      <c r="K29">
        <f>IF($D$3="All Countries",E29,SUMIFS($X$53:$X$10000,$W$53:$W$10000,$D$3,$Y$53:$Y$10000,J29))</f>
        <v>823746.14</v>
      </c>
    </row>
    <row r="30" spans="2:22" ht="20" customHeight="1" x14ac:dyDescent="0.15">
      <c r="B30" s="48"/>
      <c r="D30" s="8" t="s">
        <v>84</v>
      </c>
      <c r="E30" s="9">
        <v>691364.56</v>
      </c>
      <c r="F30" s="10">
        <v>1086</v>
      </c>
      <c r="G30" s="10">
        <v>387785</v>
      </c>
      <c r="H30" s="10">
        <v>636.61561694290981</v>
      </c>
      <c r="I30" s="9">
        <v>-0.16070676822837671</v>
      </c>
      <c r="J30" t="s">
        <v>84</v>
      </c>
      <c r="K30">
        <f>IF($D$3="All Countries",E30,SUMIFS($X$53:$X$10000,$W$53:$W$10000,$D$3,$Y$53:$Y$10000,J30))</f>
        <v>691364.56</v>
      </c>
    </row>
    <row r="31" spans="2:22" ht="20" customHeight="1" x14ac:dyDescent="0.15">
      <c r="B31" s="48"/>
      <c r="D31" s="4" t="s">
        <v>85</v>
      </c>
      <c r="E31" s="5">
        <v>523631.89</v>
      </c>
      <c r="F31" s="6">
        <v>1100</v>
      </c>
      <c r="G31" s="6">
        <v>283555</v>
      </c>
      <c r="H31" s="6">
        <v>476.02899090909091</v>
      </c>
      <c r="I31" s="5">
        <v>-0.24261103288256489</v>
      </c>
      <c r="J31" t="s">
        <v>85</v>
      </c>
      <c r="K31">
        <f>IF($D$3="All Countries",E31,SUMIFS($X$53:$X$10000,$W$53:$W$10000,$D$3,$Y$53:$Y$10000,J31))</f>
        <v>523631.89</v>
      </c>
    </row>
    <row r="32" spans="2:22" ht="20" customHeight="1" x14ac:dyDescent="0.15">
      <c r="B32" s="48"/>
      <c r="D32" s="8" t="s">
        <v>86</v>
      </c>
      <c r="E32" s="9">
        <v>717639.36</v>
      </c>
      <c r="F32" s="10">
        <v>1454</v>
      </c>
      <c r="G32" s="10">
        <v>377526</v>
      </c>
      <c r="H32" s="10">
        <v>493.56214580467667</v>
      </c>
      <c r="I32" s="9">
        <v>0.37050354209710168</v>
      </c>
      <c r="J32" t="s">
        <v>86</v>
      </c>
      <c r="K32">
        <f>IF($D$3="All Countries",E32,SUMIFS($X$53:$X$10000,$W$53:$W$10000,$D$3,$Y$53:$Y$10000,J32))</f>
        <v>717639.36</v>
      </c>
    </row>
    <row r="33" spans="2:15" ht="20" customHeight="1" x14ac:dyDescent="0.15">
      <c r="B33" s="48"/>
      <c r="D33" s="4" t="s">
        <v>87</v>
      </c>
      <c r="E33" s="5">
        <v>537808.62100000004</v>
      </c>
      <c r="F33" s="6">
        <v>1246</v>
      </c>
      <c r="G33" s="6">
        <v>308815</v>
      </c>
      <c r="H33" s="6">
        <v>431.62810674157299</v>
      </c>
      <c r="I33" s="5">
        <v>-0.25058650489850498</v>
      </c>
      <c r="J33" t="s">
        <v>87</v>
      </c>
      <c r="K33">
        <f>IF($D$3="All Countries",E33,SUMIFS($X$53:$X$10000,$W$53:$W$10000,$D$3,$Y$53:$Y$10000,J33))</f>
        <v>537808.62100000004</v>
      </c>
    </row>
    <row r="34" spans="2:15" ht="20" customHeight="1" x14ac:dyDescent="0.15">
      <c r="B34" s="48"/>
      <c r="D34" s="8" t="s">
        <v>88</v>
      </c>
      <c r="E34" s="9">
        <v>770536.02</v>
      </c>
      <c r="F34" s="10">
        <v>1681</v>
      </c>
      <c r="G34" s="10">
        <v>395738</v>
      </c>
      <c r="H34" s="10">
        <v>458.37954788816182</v>
      </c>
      <c r="I34" s="9">
        <v>0.43273274156012448</v>
      </c>
      <c r="J34" t="s">
        <v>88</v>
      </c>
      <c r="K34">
        <f>IF($D$3="All Countries",E34,SUMIFS($X$53:$X$10000,$W$53:$W$10000,$D$3,$Y$53:$Y$10000,J34))</f>
        <v>770536.02</v>
      </c>
    </row>
    <row r="35" spans="2:15" ht="20" customHeight="1" x14ac:dyDescent="0.15">
      <c r="B35" s="48"/>
      <c r="D35" s="4" t="s">
        <v>89</v>
      </c>
      <c r="E35" s="5">
        <v>761739.9</v>
      </c>
      <c r="F35" s="6">
        <v>1533</v>
      </c>
      <c r="G35" s="6">
        <v>389213</v>
      </c>
      <c r="H35" s="6">
        <v>496.89491193737769</v>
      </c>
      <c r="I35" s="5">
        <v>-1.1415585737315709E-2</v>
      </c>
      <c r="J35" t="s">
        <v>89</v>
      </c>
      <c r="K35">
        <f>IF($D$3="All Countries",E35,SUMIFS($X$53:$X$10000,$W$53:$W$10000,$D$3,$Y$53:$Y$10000,J35))</f>
        <v>761739.9</v>
      </c>
    </row>
    <row r="36" spans="2:15" ht="20" customHeight="1" x14ac:dyDescent="0.15">
      <c r="B36" s="48"/>
      <c r="D36" s="8" t="s">
        <v>90</v>
      </c>
      <c r="E36" s="9">
        <v>719221.19099999999</v>
      </c>
      <c r="F36" s="10">
        <v>1475</v>
      </c>
      <c r="G36" s="10">
        <v>401759</v>
      </c>
      <c r="H36" s="10">
        <v>487.60758711864412</v>
      </c>
      <c r="I36" s="9">
        <v>-5.5817883505905441E-2</v>
      </c>
      <c r="J36" t="s">
        <v>90</v>
      </c>
      <c r="K36">
        <f>IF($D$3="All Countries",E36,SUMIFS($X$53:$X$10000,$W$53:$W$10000,$D$3,$Y$53:$Y$10000,J36))</f>
        <v>719221.19099999999</v>
      </c>
    </row>
    <row r="37" spans="2:15" ht="20" customHeight="1" x14ac:dyDescent="0.15">
      <c r="B37" s="48"/>
      <c r="D37" s="4" t="s">
        <v>91</v>
      </c>
      <c r="E37" s="5">
        <v>759138.38</v>
      </c>
      <c r="F37" s="6">
        <v>1361</v>
      </c>
      <c r="G37" s="6">
        <v>421770</v>
      </c>
      <c r="H37" s="6">
        <v>557.77985304922856</v>
      </c>
      <c r="I37" s="5">
        <v>5.5500574092511627E-2</v>
      </c>
      <c r="J37" t="s">
        <v>91</v>
      </c>
      <c r="K37">
        <f>IF($D$3="All Countries",E37,SUMIFS($X$53:$X$10000,$W$53:$W$10000,$D$3,$Y$53:$Y$10000,J37))</f>
        <v>759138.38</v>
      </c>
    </row>
    <row r="38" spans="2:15" ht="20" customHeight="1" x14ac:dyDescent="0.15">
      <c r="B38" s="48"/>
      <c r="D38" s="8" t="s">
        <v>92</v>
      </c>
      <c r="E38" s="9">
        <v>1058590.172</v>
      </c>
      <c r="F38" s="10">
        <v>1837</v>
      </c>
      <c r="G38" s="10">
        <v>570820</v>
      </c>
      <c r="H38" s="10">
        <v>576.26030048992925</v>
      </c>
      <c r="I38" s="9">
        <v>0.39446272233001828</v>
      </c>
      <c r="J38" t="s">
        <v>92</v>
      </c>
      <c r="K38">
        <f>IF($D$3="All Countries",E38,SUMIFS($X$53:$X$10000,$W$53:$W$10000,$D$3,$Y$53:$Y$10000,J38))</f>
        <v>1058590.172</v>
      </c>
    </row>
    <row r="39" spans="2:15" ht="20" customHeight="1" x14ac:dyDescent="0.15">
      <c r="B39" s="48"/>
      <c r="D39" s="4" t="s">
        <v>93</v>
      </c>
      <c r="E39" s="5">
        <v>1154979.3</v>
      </c>
      <c r="F39" s="6">
        <v>2040</v>
      </c>
      <c r="G39" s="6">
        <v>623401</v>
      </c>
      <c r="H39" s="6">
        <v>566.16632352941178</v>
      </c>
      <c r="I39" s="5">
        <v>9.1054244172597443E-2</v>
      </c>
      <c r="J39" t="s">
        <v>93</v>
      </c>
      <c r="K39">
        <f>IF($D$3="All Countries",E39,SUMIFS($X$53:$X$10000,$W$53:$W$10000,$D$3,$Y$53:$Y$10000,J39))</f>
        <v>1154979.3</v>
      </c>
    </row>
    <row r="40" spans="2:15" ht="20" customHeight="1" x14ac:dyDescent="0.15">
      <c r="B40" s="48"/>
      <c r="D40" s="8" t="s">
        <v>94</v>
      </c>
      <c r="E40" s="9">
        <v>1509496.33</v>
      </c>
      <c r="F40" s="10">
        <v>2769</v>
      </c>
      <c r="G40" s="10">
        <v>754507</v>
      </c>
      <c r="H40" s="10">
        <v>545.14132538822685</v>
      </c>
      <c r="I40" s="9">
        <v>0.30694665263697801</v>
      </c>
      <c r="J40" t="s">
        <v>94</v>
      </c>
      <c r="K40">
        <f>IF($D$3="All Countries",E40,SUMIFS($X$53:$X$10000,$W$53:$W$10000,$D$3,$Y$53:$Y$10000,J40))</f>
        <v>1509496.33</v>
      </c>
    </row>
    <row r="41" spans="2:15" ht="20" customHeight="1" x14ac:dyDescent="0.15">
      <c r="B41" s="48"/>
      <c r="D41" s="4" t="s">
        <v>95</v>
      </c>
      <c r="E41" s="5">
        <v>638792.68000000005</v>
      </c>
      <c r="F41" s="6">
        <v>819</v>
      </c>
      <c r="G41" s="6">
        <v>314248</v>
      </c>
      <c r="H41" s="6">
        <v>779.96664224664232</v>
      </c>
      <c r="I41" s="5">
        <v>-0.57681733482584874</v>
      </c>
      <c r="J41" t="s">
        <v>95</v>
      </c>
      <c r="K41">
        <f>IF($D$3="All Countries",E41,SUMIFS($X$53:$X$10000,$W$53:$W$10000,$D$3,$Y$53:$Y$10000,J41))</f>
        <v>638792.68000000005</v>
      </c>
    </row>
    <row r="42" spans="2:15" ht="20" customHeight="1" x14ac:dyDescent="0.15">
      <c r="B42" s="48"/>
    </row>
    <row r="43" spans="2:15" ht="20" customHeight="1" x14ac:dyDescent="0.15">
      <c r="B43" s="48"/>
      <c r="D43" s="55" t="s">
        <v>96</v>
      </c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</row>
    <row r="44" spans="2:15" ht="20" customHeight="1" x14ac:dyDescent="0.15">
      <c r="B44" s="48"/>
      <c r="D44" s="54" t="s">
        <v>97</v>
      </c>
      <c r="E44" s="54" t="s">
        <v>75</v>
      </c>
      <c r="G44" s="54" t="s">
        <v>98</v>
      </c>
      <c r="H44" s="54" t="s">
        <v>75</v>
      </c>
    </row>
    <row r="45" spans="2:15" ht="20" customHeight="1" x14ac:dyDescent="0.15">
      <c r="B45" s="48"/>
      <c r="D45" s="4" t="s">
        <v>71</v>
      </c>
      <c r="E45" s="5">
        <v>9025222.0840000007</v>
      </c>
      <c r="G45" s="4" t="s">
        <v>99</v>
      </c>
      <c r="H45" s="5">
        <v>206248.77</v>
      </c>
    </row>
    <row r="46" spans="2:15" ht="20" customHeight="1" x14ac:dyDescent="0.15">
      <c r="B46" s="48"/>
      <c r="D46" s="8" t="s">
        <v>59</v>
      </c>
      <c r="E46" s="9">
        <v>285446.34000000003</v>
      </c>
      <c r="G46" s="8" t="s">
        <v>100</v>
      </c>
      <c r="H46" s="9">
        <v>174484.74</v>
      </c>
    </row>
    <row r="47" spans="2:15" ht="20" customHeight="1" x14ac:dyDescent="0.15">
      <c r="B47" s="48"/>
      <c r="D47" s="4" t="s">
        <v>44</v>
      </c>
      <c r="E47" s="5">
        <v>283453.96000000002</v>
      </c>
      <c r="G47" s="4" t="s">
        <v>101</v>
      </c>
      <c r="H47" s="5">
        <v>168469.6</v>
      </c>
    </row>
    <row r="48" spans="2:15" ht="20" customHeight="1" x14ac:dyDescent="0.15">
      <c r="B48" s="48"/>
      <c r="D48" s="8" t="s">
        <v>49</v>
      </c>
      <c r="E48" s="9">
        <v>228867.14</v>
      </c>
      <c r="G48" s="8" t="s">
        <v>102</v>
      </c>
      <c r="H48" s="9">
        <v>104340.29</v>
      </c>
    </row>
    <row r="49" spans="2:27" ht="20" customHeight="1" x14ac:dyDescent="0.15">
      <c r="B49" s="48"/>
      <c r="D49" s="4" t="s">
        <v>48</v>
      </c>
      <c r="E49" s="5">
        <v>209715.11</v>
      </c>
      <c r="G49" s="4" t="s">
        <v>103</v>
      </c>
      <c r="H49" s="5">
        <v>99504.33</v>
      </c>
    </row>
    <row r="50" spans="2:27" ht="20" customHeight="1" x14ac:dyDescent="0.15">
      <c r="B50" s="48"/>
      <c r="D50" s="8" t="s">
        <v>30</v>
      </c>
      <c r="E50" s="9">
        <v>138521.31</v>
      </c>
      <c r="G50" s="8" t="s">
        <v>104</v>
      </c>
      <c r="H50" s="9">
        <v>94340.05</v>
      </c>
    </row>
    <row r="51" spans="2:27" ht="20" customHeight="1" x14ac:dyDescent="0.15">
      <c r="B51" s="48"/>
      <c r="D51" s="4" t="s">
        <v>66</v>
      </c>
      <c r="E51" s="5">
        <v>61577.11</v>
      </c>
      <c r="G51" s="4" t="s">
        <v>105</v>
      </c>
      <c r="H51" s="5">
        <v>81700.920000000013</v>
      </c>
    </row>
    <row r="52" spans="2:27" ht="20" customHeight="1" x14ac:dyDescent="0.15">
      <c r="B52" s="48"/>
      <c r="D52" s="8" t="s">
        <v>68</v>
      </c>
      <c r="E52" s="9">
        <v>57089.9</v>
      </c>
      <c r="G52" s="8" t="s">
        <v>106</v>
      </c>
      <c r="H52" s="9">
        <v>78110.27</v>
      </c>
      <c r="R52" s="49" t="s">
        <v>81</v>
      </c>
      <c r="S52" s="49" t="s">
        <v>75</v>
      </c>
      <c r="T52" s="49" t="s">
        <v>76</v>
      </c>
      <c r="U52" s="49" t="s">
        <v>77</v>
      </c>
      <c r="W52" t="s">
        <v>81</v>
      </c>
      <c r="X52" t="s">
        <v>75</v>
      </c>
      <c r="Y52" t="s">
        <v>74</v>
      </c>
      <c r="Z52" t="s">
        <v>76</v>
      </c>
      <c r="AA52" t="s">
        <v>82</v>
      </c>
    </row>
    <row r="53" spans="2:27" ht="20" customHeight="1" x14ac:dyDescent="0.15">
      <c r="B53" s="48"/>
      <c r="D53" s="4" t="s">
        <v>34</v>
      </c>
      <c r="E53" s="5">
        <v>41196.339999999997</v>
      </c>
      <c r="G53" s="4" t="s">
        <v>107</v>
      </c>
      <c r="H53" s="5">
        <v>78101.88</v>
      </c>
      <c r="R53" t="s">
        <v>71</v>
      </c>
      <c r="S53" s="50">
        <v>9025222.0840000007</v>
      </c>
      <c r="T53">
        <v>18019</v>
      </c>
      <c r="U53">
        <v>4662390</v>
      </c>
      <c r="W53" t="s">
        <v>30</v>
      </c>
      <c r="X53">
        <v>1032.8499999999999</v>
      </c>
      <c r="Y53" t="s">
        <v>83</v>
      </c>
      <c r="Z53">
        <v>3</v>
      </c>
      <c r="AA53">
        <v>467</v>
      </c>
    </row>
    <row r="54" spans="2:27" ht="20" customHeight="1" x14ac:dyDescent="0.15">
      <c r="B54" s="48"/>
      <c r="D54" s="8" t="s">
        <v>67</v>
      </c>
      <c r="E54" s="9">
        <v>38378.33</v>
      </c>
      <c r="G54" s="8" t="s">
        <v>108</v>
      </c>
      <c r="H54" s="9">
        <v>66964.990000000005</v>
      </c>
      <c r="R54" t="s">
        <v>59</v>
      </c>
      <c r="S54" s="50">
        <v>285446.34000000003</v>
      </c>
      <c r="T54">
        <v>94</v>
      </c>
      <c r="U54">
        <v>200361</v>
      </c>
      <c r="W54" t="s">
        <v>30</v>
      </c>
      <c r="X54">
        <v>9017.7100000000009</v>
      </c>
      <c r="Y54" t="s">
        <v>84</v>
      </c>
      <c r="Z54">
        <v>9</v>
      </c>
      <c r="AA54">
        <v>5644</v>
      </c>
    </row>
    <row r="55" spans="2:27" ht="20" customHeight="1" x14ac:dyDescent="0.15">
      <c r="B55" s="48"/>
      <c r="R55" t="s">
        <v>44</v>
      </c>
      <c r="S55" s="50">
        <v>283453.96000000002</v>
      </c>
      <c r="T55">
        <v>288</v>
      </c>
      <c r="U55">
        <v>147173</v>
      </c>
      <c r="W55" t="s">
        <v>30</v>
      </c>
      <c r="X55">
        <v>14695.42</v>
      </c>
      <c r="Y55" t="s">
        <v>85</v>
      </c>
      <c r="Z55">
        <v>5</v>
      </c>
      <c r="AA55">
        <v>8680</v>
      </c>
    </row>
    <row r="56" spans="2:27" ht="20" customHeight="1" x14ac:dyDescent="0.15">
      <c r="R56" t="s">
        <v>49</v>
      </c>
      <c r="S56" s="50">
        <v>228867.14</v>
      </c>
      <c r="T56">
        <v>457</v>
      </c>
      <c r="U56">
        <v>119261</v>
      </c>
      <c r="W56" t="s">
        <v>30</v>
      </c>
      <c r="X56">
        <v>17223.990000000002</v>
      </c>
      <c r="Y56" t="s">
        <v>86</v>
      </c>
      <c r="Z56">
        <v>3</v>
      </c>
      <c r="AA56">
        <v>10439</v>
      </c>
    </row>
    <row r="57" spans="2:27" ht="20" customHeight="1" x14ac:dyDescent="0.15">
      <c r="R57" t="s">
        <v>48</v>
      </c>
      <c r="S57" s="50">
        <v>209715.11</v>
      </c>
      <c r="T57">
        <v>392</v>
      </c>
      <c r="U57">
        <v>112103</v>
      </c>
      <c r="W57" t="s">
        <v>30</v>
      </c>
      <c r="X57">
        <v>771.6</v>
      </c>
      <c r="Y57" t="s">
        <v>87</v>
      </c>
      <c r="Z57">
        <v>2</v>
      </c>
      <c r="AA57">
        <v>225</v>
      </c>
    </row>
    <row r="58" spans="2:27" ht="20" customHeight="1" x14ac:dyDescent="0.15">
      <c r="R58" t="s">
        <v>30</v>
      </c>
      <c r="S58" s="50">
        <v>138521.31</v>
      </c>
      <c r="T58">
        <v>57</v>
      </c>
      <c r="U58">
        <v>83901</v>
      </c>
      <c r="W58" t="s">
        <v>30</v>
      </c>
      <c r="X58">
        <v>13638.41</v>
      </c>
      <c r="Y58" t="s">
        <v>88</v>
      </c>
      <c r="Z58">
        <v>4</v>
      </c>
      <c r="AA58">
        <v>8999</v>
      </c>
    </row>
    <row r="59" spans="2:27" ht="20" customHeight="1" x14ac:dyDescent="0.15">
      <c r="R59" t="s">
        <v>66</v>
      </c>
      <c r="S59" s="50">
        <v>61577.11</v>
      </c>
      <c r="T59">
        <v>90</v>
      </c>
      <c r="U59">
        <v>27940</v>
      </c>
      <c r="W59" t="s">
        <v>30</v>
      </c>
      <c r="X59">
        <v>25187.77</v>
      </c>
      <c r="Y59" t="s">
        <v>89</v>
      </c>
      <c r="Z59">
        <v>4</v>
      </c>
      <c r="AA59">
        <v>15981</v>
      </c>
    </row>
    <row r="60" spans="2:27" ht="20" customHeight="1" x14ac:dyDescent="0.15">
      <c r="R60" t="s">
        <v>68</v>
      </c>
      <c r="S60" s="50">
        <v>57089.9</v>
      </c>
      <c r="T60">
        <v>54</v>
      </c>
      <c r="U60">
        <v>30629</v>
      </c>
      <c r="W60" t="s">
        <v>30</v>
      </c>
      <c r="X60">
        <v>4964.38</v>
      </c>
      <c r="Y60" t="s">
        <v>90</v>
      </c>
      <c r="Z60">
        <v>7</v>
      </c>
      <c r="AA60">
        <v>5318</v>
      </c>
    </row>
    <row r="61" spans="2:27" ht="20" customHeight="1" x14ac:dyDescent="0.15">
      <c r="R61" t="s">
        <v>34</v>
      </c>
      <c r="S61" s="50">
        <v>41196.339999999997</v>
      </c>
      <c r="T61">
        <v>98</v>
      </c>
      <c r="U61">
        <v>23237</v>
      </c>
      <c r="W61" t="s">
        <v>30</v>
      </c>
      <c r="X61">
        <v>22489.200000000001</v>
      </c>
      <c r="Y61" t="s">
        <v>91</v>
      </c>
      <c r="Z61">
        <v>2</v>
      </c>
      <c r="AA61">
        <v>12570</v>
      </c>
    </row>
    <row r="62" spans="2:27" ht="20" customHeight="1" x14ac:dyDescent="0.15">
      <c r="R62" t="s">
        <v>67</v>
      </c>
      <c r="S62" s="50">
        <v>38378.33</v>
      </c>
      <c r="T62">
        <v>36</v>
      </c>
      <c r="U62">
        <v>36083</v>
      </c>
      <c r="W62" t="s">
        <v>30</v>
      </c>
      <c r="X62">
        <v>5106.7299999999996</v>
      </c>
      <c r="Y62" t="s">
        <v>92</v>
      </c>
      <c r="Z62">
        <v>8</v>
      </c>
      <c r="AA62">
        <v>4079</v>
      </c>
    </row>
    <row r="63" spans="2:27" ht="20" customHeight="1" x14ac:dyDescent="0.15">
      <c r="R63" t="s">
        <v>55</v>
      </c>
      <c r="S63" s="50">
        <v>37416.370000000003</v>
      </c>
      <c r="T63">
        <v>19</v>
      </c>
      <c r="U63">
        <v>26016</v>
      </c>
      <c r="W63" t="s">
        <v>30</v>
      </c>
      <c r="X63">
        <v>17150.53</v>
      </c>
      <c r="Y63" t="s">
        <v>93</v>
      </c>
      <c r="Z63">
        <v>4</v>
      </c>
      <c r="AA63">
        <v>7401</v>
      </c>
    </row>
    <row r="64" spans="2:27" ht="20" customHeight="1" x14ac:dyDescent="0.15">
      <c r="R64" t="s">
        <v>60</v>
      </c>
      <c r="S64" s="50">
        <v>36165.440000000002</v>
      </c>
      <c r="T64">
        <v>36</v>
      </c>
      <c r="U64">
        <v>19336</v>
      </c>
      <c r="W64" t="s">
        <v>30</v>
      </c>
      <c r="X64">
        <v>7242.72</v>
      </c>
      <c r="Y64" t="s">
        <v>94</v>
      </c>
      <c r="Z64">
        <v>6</v>
      </c>
      <c r="AA64">
        <v>4098</v>
      </c>
    </row>
    <row r="65" spans="18:27" ht="20" customHeight="1" x14ac:dyDescent="0.15">
      <c r="R65" t="s">
        <v>62</v>
      </c>
      <c r="S65" s="50">
        <v>33747.1</v>
      </c>
      <c r="T65">
        <v>58</v>
      </c>
      <c r="U65">
        <v>16258</v>
      </c>
      <c r="W65" t="s">
        <v>31</v>
      </c>
      <c r="X65">
        <v>277.2</v>
      </c>
      <c r="Y65" t="s">
        <v>83</v>
      </c>
      <c r="Z65">
        <v>1</v>
      </c>
      <c r="AA65">
        <v>51</v>
      </c>
    </row>
    <row r="66" spans="18:27" ht="20" customHeight="1" x14ac:dyDescent="0.15">
      <c r="R66" t="s">
        <v>46</v>
      </c>
      <c r="S66" s="50">
        <v>22546.080000000002</v>
      </c>
      <c r="T66">
        <v>41</v>
      </c>
      <c r="U66">
        <v>10704</v>
      </c>
      <c r="W66" t="s">
        <v>31</v>
      </c>
      <c r="X66">
        <v>518.36</v>
      </c>
      <c r="Y66" t="s">
        <v>85</v>
      </c>
      <c r="Z66">
        <v>2</v>
      </c>
      <c r="AA66">
        <v>342</v>
      </c>
    </row>
    <row r="67" spans="18:27" ht="20" customHeight="1" x14ac:dyDescent="0.15">
      <c r="R67" t="s">
        <v>65</v>
      </c>
      <c r="S67" s="50">
        <v>21279.29</v>
      </c>
      <c r="T67">
        <v>7</v>
      </c>
      <c r="U67">
        <v>5241</v>
      </c>
      <c r="W67" t="s">
        <v>31</v>
      </c>
      <c r="X67">
        <v>1708.12</v>
      </c>
      <c r="Y67" t="s">
        <v>86</v>
      </c>
      <c r="Z67">
        <v>2</v>
      </c>
      <c r="AA67">
        <v>982</v>
      </c>
    </row>
    <row r="68" spans="18:27" ht="20" customHeight="1" x14ac:dyDescent="0.15">
      <c r="R68" t="s">
        <v>39</v>
      </c>
      <c r="S68" s="50">
        <v>20450.439999999999</v>
      </c>
      <c r="T68">
        <v>26</v>
      </c>
      <c r="U68">
        <v>9491</v>
      </c>
      <c r="W68" t="s">
        <v>31</v>
      </c>
      <c r="X68">
        <v>680.78</v>
      </c>
      <c r="Y68" t="s">
        <v>87</v>
      </c>
      <c r="Z68">
        <v>2</v>
      </c>
      <c r="AA68">
        <v>311</v>
      </c>
    </row>
    <row r="69" spans="18:27" ht="20" customHeight="1" x14ac:dyDescent="0.15">
      <c r="R69" t="s">
        <v>43</v>
      </c>
      <c r="S69" s="50">
        <v>18955.34</v>
      </c>
      <c r="T69">
        <v>18</v>
      </c>
      <c r="U69">
        <v>8235</v>
      </c>
      <c r="W69" t="s">
        <v>31</v>
      </c>
      <c r="X69">
        <v>1249.43</v>
      </c>
      <c r="Y69" t="s">
        <v>88</v>
      </c>
      <c r="Z69">
        <v>2</v>
      </c>
      <c r="AA69">
        <v>476</v>
      </c>
    </row>
    <row r="70" spans="18:27" ht="20" customHeight="1" x14ac:dyDescent="0.15">
      <c r="R70" t="s">
        <v>54</v>
      </c>
      <c r="S70" s="50">
        <v>17483.240000000002</v>
      </c>
      <c r="T70">
        <v>38</v>
      </c>
      <c r="U70">
        <v>8112</v>
      </c>
      <c r="W70" t="s">
        <v>31</v>
      </c>
      <c r="X70">
        <v>1191.95</v>
      </c>
      <c r="Y70" t="s">
        <v>90</v>
      </c>
      <c r="Z70">
        <v>2</v>
      </c>
      <c r="AA70">
        <v>573</v>
      </c>
    </row>
    <row r="71" spans="18:27" ht="20" customHeight="1" x14ac:dyDescent="0.15">
      <c r="R71" t="s">
        <v>51</v>
      </c>
      <c r="S71" s="50">
        <v>15691.8</v>
      </c>
      <c r="T71">
        <v>11</v>
      </c>
      <c r="U71">
        <v>4773</v>
      </c>
      <c r="W71" t="s">
        <v>31</v>
      </c>
      <c r="X71">
        <v>1516.08</v>
      </c>
      <c r="Y71" t="s">
        <v>91</v>
      </c>
      <c r="Z71">
        <v>2</v>
      </c>
      <c r="AA71">
        <v>790</v>
      </c>
    </row>
    <row r="72" spans="18:27" ht="20" customHeight="1" x14ac:dyDescent="0.15">
      <c r="R72" t="s">
        <v>41</v>
      </c>
      <c r="S72" s="50">
        <v>13590.38</v>
      </c>
      <c r="T72">
        <v>16</v>
      </c>
      <c r="U72">
        <v>6361</v>
      </c>
      <c r="W72" t="s">
        <v>31</v>
      </c>
      <c r="X72">
        <v>1043.78</v>
      </c>
      <c r="Y72" t="s">
        <v>93</v>
      </c>
      <c r="Z72">
        <v>1</v>
      </c>
      <c r="AA72">
        <v>491</v>
      </c>
    </row>
    <row r="73" spans="18:27" ht="20" customHeight="1" x14ac:dyDescent="0.15">
      <c r="R73" t="s">
        <v>31</v>
      </c>
      <c r="S73" s="50">
        <v>10198.68</v>
      </c>
      <c r="T73">
        <v>17</v>
      </c>
      <c r="U73">
        <v>4881</v>
      </c>
      <c r="W73" t="s">
        <v>31</v>
      </c>
      <c r="X73">
        <v>1329.78</v>
      </c>
      <c r="Y73" t="s">
        <v>94</v>
      </c>
      <c r="Z73">
        <v>2</v>
      </c>
      <c r="AA73">
        <v>717</v>
      </c>
    </row>
    <row r="74" spans="18:27" ht="20" customHeight="1" x14ac:dyDescent="0.15">
      <c r="R74" t="s">
        <v>53</v>
      </c>
      <c r="S74" s="50">
        <v>8135.26</v>
      </c>
      <c r="T74">
        <v>8</v>
      </c>
      <c r="U74">
        <v>4409</v>
      </c>
      <c r="W74" t="s">
        <v>31</v>
      </c>
      <c r="X74">
        <v>683.2</v>
      </c>
      <c r="Y74" t="s">
        <v>95</v>
      </c>
      <c r="Z74">
        <v>1</v>
      </c>
      <c r="AA74">
        <v>148</v>
      </c>
    </row>
    <row r="75" spans="18:27" ht="20" customHeight="1" x14ac:dyDescent="0.15">
      <c r="R75" t="s">
        <v>61</v>
      </c>
      <c r="S75" s="50">
        <v>7334.65</v>
      </c>
      <c r="T75">
        <v>19</v>
      </c>
      <c r="U75">
        <v>3684</v>
      </c>
      <c r="W75" t="s">
        <v>33</v>
      </c>
      <c r="X75">
        <v>205.74</v>
      </c>
      <c r="Y75" t="s">
        <v>83</v>
      </c>
      <c r="Z75">
        <v>1</v>
      </c>
      <c r="AA75">
        <v>54</v>
      </c>
    </row>
    <row r="76" spans="18:27" ht="20" customHeight="1" x14ac:dyDescent="0.15">
      <c r="R76" t="s">
        <v>50</v>
      </c>
      <c r="S76" s="50">
        <v>4760.5200000000004</v>
      </c>
      <c r="T76">
        <v>5</v>
      </c>
      <c r="U76">
        <v>1557</v>
      </c>
      <c r="W76" t="s">
        <v>33</v>
      </c>
      <c r="X76">
        <v>548.4</v>
      </c>
      <c r="Y76" t="s">
        <v>88</v>
      </c>
      <c r="Z76">
        <v>2</v>
      </c>
      <c r="AA76">
        <v>260</v>
      </c>
    </row>
    <row r="77" spans="18:27" ht="20" customHeight="1" x14ac:dyDescent="0.15">
      <c r="R77" t="s">
        <v>72</v>
      </c>
      <c r="S77" s="50">
        <v>4749.79</v>
      </c>
      <c r="T77">
        <v>13</v>
      </c>
      <c r="U77">
        <v>3300</v>
      </c>
      <c r="W77" t="s">
        <v>34</v>
      </c>
      <c r="X77">
        <v>1809.91</v>
      </c>
      <c r="Y77" t="s">
        <v>83</v>
      </c>
      <c r="Z77">
        <v>5</v>
      </c>
      <c r="AA77">
        <v>1755</v>
      </c>
    </row>
    <row r="78" spans="18:27" ht="20" customHeight="1" x14ac:dyDescent="0.15">
      <c r="R78" t="s">
        <v>52</v>
      </c>
      <c r="S78" s="50">
        <v>4310</v>
      </c>
      <c r="T78">
        <v>7</v>
      </c>
      <c r="U78">
        <v>2458</v>
      </c>
      <c r="W78" t="s">
        <v>34</v>
      </c>
      <c r="X78">
        <v>1200.2</v>
      </c>
      <c r="Y78" t="s">
        <v>84</v>
      </c>
      <c r="Z78">
        <v>3</v>
      </c>
      <c r="AA78">
        <v>792</v>
      </c>
    </row>
    <row r="79" spans="18:27" ht="20" customHeight="1" x14ac:dyDescent="0.15">
      <c r="R79" t="s">
        <v>38</v>
      </c>
      <c r="S79" s="50">
        <v>3666.38</v>
      </c>
      <c r="T79">
        <v>6</v>
      </c>
      <c r="U79">
        <v>2763</v>
      </c>
      <c r="W79" t="s">
        <v>34</v>
      </c>
      <c r="X79">
        <v>2181.0700000000002</v>
      </c>
      <c r="Y79" t="s">
        <v>85</v>
      </c>
      <c r="Z79">
        <v>8</v>
      </c>
      <c r="AA79">
        <v>1102</v>
      </c>
    </row>
    <row r="80" spans="18:27" ht="20" customHeight="1" x14ac:dyDescent="0.15">
      <c r="R80" t="s">
        <v>69</v>
      </c>
      <c r="S80" s="50">
        <v>3580.39</v>
      </c>
      <c r="T80">
        <v>5</v>
      </c>
      <c r="U80">
        <v>2458</v>
      </c>
      <c r="W80" t="s">
        <v>34</v>
      </c>
      <c r="X80">
        <v>3351.98</v>
      </c>
      <c r="Y80" t="s">
        <v>86</v>
      </c>
      <c r="Z80">
        <v>9</v>
      </c>
      <c r="AA80">
        <v>1783</v>
      </c>
    </row>
    <row r="81" spans="18:27" ht="20" customHeight="1" x14ac:dyDescent="0.15">
      <c r="R81" t="s">
        <v>58</v>
      </c>
      <c r="S81" s="50">
        <v>2725.59</v>
      </c>
      <c r="T81">
        <v>5</v>
      </c>
      <c r="U81">
        <v>970</v>
      </c>
      <c r="W81" t="s">
        <v>34</v>
      </c>
      <c r="X81">
        <v>1989.48</v>
      </c>
      <c r="Y81" t="s">
        <v>87</v>
      </c>
      <c r="Z81">
        <v>6</v>
      </c>
      <c r="AA81">
        <v>1183</v>
      </c>
    </row>
    <row r="82" spans="18:27" ht="20" customHeight="1" x14ac:dyDescent="0.15">
      <c r="R82" t="s">
        <v>70</v>
      </c>
      <c r="S82" s="50">
        <v>1902.28</v>
      </c>
      <c r="T82">
        <v>3</v>
      </c>
      <c r="U82">
        <v>982</v>
      </c>
      <c r="W82" t="s">
        <v>34</v>
      </c>
      <c r="X82">
        <v>2732.4</v>
      </c>
      <c r="Y82" t="s">
        <v>88</v>
      </c>
      <c r="Z82">
        <v>9</v>
      </c>
      <c r="AA82">
        <v>1829</v>
      </c>
    </row>
    <row r="83" spans="18:27" ht="20" customHeight="1" x14ac:dyDescent="0.15">
      <c r="R83" t="s">
        <v>56</v>
      </c>
      <c r="S83" s="50">
        <v>1693.88</v>
      </c>
      <c r="T83">
        <v>1</v>
      </c>
      <c r="U83">
        <v>386</v>
      </c>
      <c r="W83" t="s">
        <v>34</v>
      </c>
      <c r="X83">
        <v>4274.82</v>
      </c>
      <c r="Y83" t="s">
        <v>89</v>
      </c>
      <c r="Z83">
        <v>11</v>
      </c>
      <c r="AA83">
        <v>2245</v>
      </c>
    </row>
    <row r="84" spans="18:27" ht="20" customHeight="1" x14ac:dyDescent="0.15">
      <c r="R84" t="s">
        <v>57</v>
      </c>
      <c r="S84" s="50">
        <v>1661.06</v>
      </c>
      <c r="T84">
        <v>4</v>
      </c>
      <c r="U84">
        <v>652</v>
      </c>
      <c r="W84" t="s">
        <v>34</v>
      </c>
      <c r="X84">
        <v>2475.5700000000002</v>
      </c>
      <c r="Y84" t="s">
        <v>90</v>
      </c>
      <c r="Z84">
        <v>5</v>
      </c>
      <c r="AA84">
        <v>1679</v>
      </c>
    </row>
    <row r="85" spans="18:27" ht="20" customHeight="1" x14ac:dyDescent="0.15">
      <c r="R85" t="s">
        <v>45</v>
      </c>
      <c r="S85" s="50">
        <v>1300.25</v>
      </c>
      <c r="T85">
        <v>4</v>
      </c>
      <c r="U85">
        <v>499</v>
      </c>
      <c r="W85" t="s">
        <v>34</v>
      </c>
      <c r="X85">
        <v>3554.02</v>
      </c>
      <c r="Y85" t="s">
        <v>91</v>
      </c>
      <c r="Z85">
        <v>9</v>
      </c>
      <c r="AA85">
        <v>2069</v>
      </c>
    </row>
    <row r="86" spans="18:27" ht="20" customHeight="1" x14ac:dyDescent="0.15">
      <c r="R86" t="s">
        <v>35</v>
      </c>
      <c r="S86" s="50">
        <v>1143.5999999999999</v>
      </c>
      <c r="T86">
        <v>1</v>
      </c>
      <c r="U86">
        <v>356</v>
      </c>
      <c r="W86" t="s">
        <v>34</v>
      </c>
      <c r="X86">
        <v>4208.0200000000004</v>
      </c>
      <c r="Y86" t="s">
        <v>92</v>
      </c>
      <c r="Z86">
        <v>7</v>
      </c>
      <c r="AA86">
        <v>1969</v>
      </c>
    </row>
    <row r="87" spans="18:27" ht="20" customHeight="1" x14ac:dyDescent="0.15">
      <c r="R87" t="s">
        <v>63</v>
      </c>
      <c r="S87" s="50">
        <v>1002.31</v>
      </c>
      <c r="T87">
        <v>1</v>
      </c>
      <c r="U87">
        <v>351</v>
      </c>
      <c r="W87" t="s">
        <v>34</v>
      </c>
      <c r="X87">
        <v>5685.38</v>
      </c>
      <c r="Y87" t="s">
        <v>93</v>
      </c>
      <c r="Z87">
        <v>11</v>
      </c>
      <c r="AA87">
        <v>3170</v>
      </c>
    </row>
    <row r="88" spans="18:27" ht="20" customHeight="1" x14ac:dyDescent="0.15">
      <c r="R88" t="s">
        <v>42</v>
      </c>
      <c r="S88" s="50">
        <v>826.74</v>
      </c>
      <c r="T88">
        <v>2</v>
      </c>
      <c r="U88">
        <v>671</v>
      </c>
      <c r="W88" t="s">
        <v>34</v>
      </c>
      <c r="X88">
        <v>6315.76</v>
      </c>
      <c r="Y88" t="s">
        <v>94</v>
      </c>
      <c r="Z88">
        <v>11</v>
      </c>
      <c r="AA88">
        <v>2560</v>
      </c>
    </row>
    <row r="89" spans="18:27" ht="20" customHeight="1" x14ac:dyDescent="0.15">
      <c r="R89" t="s">
        <v>33</v>
      </c>
      <c r="S89" s="50">
        <v>754.14</v>
      </c>
      <c r="T89">
        <v>3</v>
      </c>
      <c r="U89">
        <v>314</v>
      </c>
      <c r="W89" t="s">
        <v>34</v>
      </c>
      <c r="X89">
        <v>1417.73</v>
      </c>
      <c r="Y89" t="s">
        <v>95</v>
      </c>
      <c r="Z89">
        <v>4</v>
      </c>
      <c r="AA89">
        <v>1101</v>
      </c>
    </row>
    <row r="90" spans="18:27" x14ac:dyDescent="0.15">
      <c r="R90" t="s">
        <v>64</v>
      </c>
      <c r="S90" s="50">
        <v>145.91999999999999</v>
      </c>
      <c r="T90">
        <v>1</v>
      </c>
      <c r="U90">
        <v>80</v>
      </c>
      <c r="W90" t="s">
        <v>35</v>
      </c>
      <c r="X90">
        <v>1143.5999999999999</v>
      </c>
      <c r="Y90" t="s">
        <v>87</v>
      </c>
      <c r="Z90">
        <v>1</v>
      </c>
      <c r="AA90">
        <v>356</v>
      </c>
    </row>
    <row r="91" spans="18:27" x14ac:dyDescent="0.15">
      <c r="W91" t="s">
        <v>38</v>
      </c>
      <c r="X91">
        <v>140.54</v>
      </c>
      <c r="Y91" t="s">
        <v>86</v>
      </c>
      <c r="Z91">
        <v>1</v>
      </c>
      <c r="AA91">
        <v>88</v>
      </c>
    </row>
    <row r="92" spans="18:27" x14ac:dyDescent="0.15">
      <c r="W92" t="s">
        <v>38</v>
      </c>
      <c r="X92">
        <v>534.24</v>
      </c>
      <c r="Y92" t="s">
        <v>88</v>
      </c>
      <c r="Z92">
        <v>1</v>
      </c>
      <c r="AA92">
        <v>504</v>
      </c>
    </row>
    <row r="93" spans="18:27" x14ac:dyDescent="0.15">
      <c r="W93" t="s">
        <v>38</v>
      </c>
      <c r="X93">
        <v>1171.46</v>
      </c>
      <c r="Y93" t="s">
        <v>89</v>
      </c>
      <c r="Z93">
        <v>1</v>
      </c>
      <c r="AA93">
        <v>1092</v>
      </c>
    </row>
    <row r="94" spans="18:27" x14ac:dyDescent="0.15">
      <c r="W94" t="s">
        <v>38</v>
      </c>
      <c r="X94">
        <v>1768.58</v>
      </c>
      <c r="Y94" t="s">
        <v>90</v>
      </c>
      <c r="Z94">
        <v>2</v>
      </c>
      <c r="AA94">
        <v>1027</v>
      </c>
    </row>
    <row r="95" spans="18:27" x14ac:dyDescent="0.15">
      <c r="W95" t="s">
        <v>38</v>
      </c>
      <c r="X95">
        <v>51.56</v>
      </c>
      <c r="Y95" t="s">
        <v>91</v>
      </c>
      <c r="Z95">
        <v>1</v>
      </c>
      <c r="AA95">
        <v>52</v>
      </c>
    </row>
    <row r="96" spans="18:27" x14ac:dyDescent="0.15">
      <c r="W96" t="s">
        <v>39</v>
      </c>
      <c r="X96">
        <v>363.53</v>
      </c>
      <c r="Y96" t="s">
        <v>83</v>
      </c>
      <c r="Z96">
        <v>1</v>
      </c>
      <c r="AA96">
        <v>80</v>
      </c>
    </row>
    <row r="97" spans="23:27" x14ac:dyDescent="0.15">
      <c r="W97" t="s">
        <v>39</v>
      </c>
      <c r="X97">
        <v>675.58</v>
      </c>
      <c r="Y97" t="s">
        <v>84</v>
      </c>
      <c r="Z97">
        <v>1</v>
      </c>
      <c r="AA97">
        <v>259</v>
      </c>
    </row>
    <row r="98" spans="23:27" x14ac:dyDescent="0.15">
      <c r="W98" t="s">
        <v>39</v>
      </c>
      <c r="X98">
        <v>1784.71</v>
      </c>
      <c r="Y98" t="s">
        <v>85</v>
      </c>
      <c r="Z98">
        <v>1</v>
      </c>
      <c r="AA98">
        <v>935</v>
      </c>
    </row>
    <row r="99" spans="23:27" x14ac:dyDescent="0.15">
      <c r="W99" t="s">
        <v>39</v>
      </c>
      <c r="X99">
        <v>3509.33</v>
      </c>
      <c r="Y99" t="s">
        <v>86</v>
      </c>
      <c r="Z99">
        <v>3</v>
      </c>
      <c r="AA99">
        <v>2104</v>
      </c>
    </row>
    <row r="100" spans="23:27" x14ac:dyDescent="0.15">
      <c r="W100" t="s">
        <v>39</v>
      </c>
      <c r="X100">
        <v>293</v>
      </c>
      <c r="Y100" t="s">
        <v>87</v>
      </c>
      <c r="Z100">
        <v>1</v>
      </c>
      <c r="AA100">
        <v>97</v>
      </c>
    </row>
    <row r="101" spans="23:27" x14ac:dyDescent="0.15">
      <c r="W101" t="s">
        <v>39</v>
      </c>
      <c r="X101">
        <v>1207.24</v>
      </c>
      <c r="Y101" t="s">
        <v>88</v>
      </c>
      <c r="Z101">
        <v>2</v>
      </c>
      <c r="AA101">
        <v>224</v>
      </c>
    </row>
    <row r="102" spans="23:27" x14ac:dyDescent="0.15">
      <c r="W102" t="s">
        <v>39</v>
      </c>
      <c r="X102">
        <v>2060.0300000000002</v>
      </c>
      <c r="Y102" t="s">
        <v>89</v>
      </c>
      <c r="Z102">
        <v>1</v>
      </c>
      <c r="AA102">
        <v>836</v>
      </c>
    </row>
    <row r="103" spans="23:27" x14ac:dyDescent="0.15">
      <c r="W103" t="s">
        <v>39</v>
      </c>
      <c r="X103">
        <v>4896.78</v>
      </c>
      <c r="Y103" t="s">
        <v>91</v>
      </c>
      <c r="Z103">
        <v>5</v>
      </c>
      <c r="AA103">
        <v>2009</v>
      </c>
    </row>
    <row r="104" spans="23:27" x14ac:dyDescent="0.15">
      <c r="W104" t="s">
        <v>39</v>
      </c>
      <c r="X104">
        <v>1323.75</v>
      </c>
      <c r="Y104" t="s">
        <v>92</v>
      </c>
      <c r="Z104">
        <v>2</v>
      </c>
      <c r="AA104">
        <v>764</v>
      </c>
    </row>
    <row r="105" spans="23:27" x14ac:dyDescent="0.15">
      <c r="W105" t="s">
        <v>39</v>
      </c>
      <c r="X105">
        <v>2623.32</v>
      </c>
      <c r="Y105" t="s">
        <v>93</v>
      </c>
      <c r="Z105">
        <v>5</v>
      </c>
      <c r="AA105">
        <v>1407</v>
      </c>
    </row>
    <row r="106" spans="23:27" x14ac:dyDescent="0.15">
      <c r="W106" t="s">
        <v>39</v>
      </c>
      <c r="X106">
        <v>1514.77</v>
      </c>
      <c r="Y106" t="s">
        <v>94</v>
      </c>
      <c r="Z106">
        <v>3</v>
      </c>
      <c r="AA106">
        <v>716</v>
      </c>
    </row>
    <row r="107" spans="23:27" x14ac:dyDescent="0.15">
      <c r="W107" t="s">
        <v>39</v>
      </c>
      <c r="X107">
        <v>198.4</v>
      </c>
      <c r="Y107" t="s">
        <v>95</v>
      </c>
      <c r="Z107">
        <v>1</v>
      </c>
      <c r="AA107">
        <v>60</v>
      </c>
    </row>
    <row r="108" spans="23:27" x14ac:dyDescent="0.15">
      <c r="W108" t="s">
        <v>41</v>
      </c>
      <c r="X108">
        <v>1590.82</v>
      </c>
      <c r="Y108" t="s">
        <v>83</v>
      </c>
      <c r="Z108">
        <v>1</v>
      </c>
      <c r="AA108">
        <v>917</v>
      </c>
    </row>
    <row r="109" spans="23:27" x14ac:dyDescent="0.15">
      <c r="W109" t="s">
        <v>41</v>
      </c>
      <c r="X109">
        <v>547.5</v>
      </c>
      <c r="Y109" t="s">
        <v>84</v>
      </c>
      <c r="Z109">
        <v>1</v>
      </c>
      <c r="AA109">
        <v>144</v>
      </c>
    </row>
    <row r="110" spans="23:27" x14ac:dyDescent="0.15">
      <c r="W110" t="s">
        <v>41</v>
      </c>
      <c r="X110">
        <v>4334.24</v>
      </c>
      <c r="Y110" t="s">
        <v>85</v>
      </c>
      <c r="Z110">
        <v>6</v>
      </c>
      <c r="AA110">
        <v>2191</v>
      </c>
    </row>
    <row r="111" spans="23:27" x14ac:dyDescent="0.15">
      <c r="W111" t="s">
        <v>41</v>
      </c>
      <c r="X111">
        <v>938.39</v>
      </c>
      <c r="Y111" t="s">
        <v>86</v>
      </c>
      <c r="Z111">
        <v>1</v>
      </c>
      <c r="AA111">
        <v>1005</v>
      </c>
    </row>
    <row r="112" spans="23:27" x14ac:dyDescent="0.15">
      <c r="W112" t="s">
        <v>41</v>
      </c>
      <c r="X112">
        <v>1109.32</v>
      </c>
      <c r="Y112" t="s">
        <v>89</v>
      </c>
      <c r="Z112">
        <v>1</v>
      </c>
      <c r="AA112">
        <v>356</v>
      </c>
    </row>
    <row r="113" spans="23:27" x14ac:dyDescent="0.15">
      <c r="W113" t="s">
        <v>41</v>
      </c>
      <c r="X113">
        <v>196.35</v>
      </c>
      <c r="Y113" t="s">
        <v>92</v>
      </c>
      <c r="Z113">
        <v>1</v>
      </c>
      <c r="AA113">
        <v>33</v>
      </c>
    </row>
    <row r="114" spans="23:27" x14ac:dyDescent="0.15">
      <c r="W114" t="s">
        <v>41</v>
      </c>
      <c r="X114">
        <v>4412.87</v>
      </c>
      <c r="Y114" t="s">
        <v>93</v>
      </c>
      <c r="Z114">
        <v>4</v>
      </c>
      <c r="AA114">
        <v>1415</v>
      </c>
    </row>
    <row r="115" spans="23:27" x14ac:dyDescent="0.15">
      <c r="W115" t="s">
        <v>41</v>
      </c>
      <c r="X115">
        <v>460.89</v>
      </c>
      <c r="Y115" t="s">
        <v>94</v>
      </c>
      <c r="Z115">
        <v>1</v>
      </c>
      <c r="AA115">
        <v>300</v>
      </c>
    </row>
    <row r="116" spans="23:27" x14ac:dyDescent="0.15">
      <c r="W116" t="s">
        <v>42</v>
      </c>
      <c r="X116">
        <v>549.26</v>
      </c>
      <c r="Y116" t="s">
        <v>85</v>
      </c>
      <c r="Z116">
        <v>1</v>
      </c>
      <c r="AA116">
        <v>346</v>
      </c>
    </row>
    <row r="117" spans="23:27" x14ac:dyDescent="0.15">
      <c r="W117" t="s">
        <v>42</v>
      </c>
      <c r="X117">
        <v>277.48</v>
      </c>
      <c r="Y117" t="s">
        <v>93</v>
      </c>
      <c r="Z117">
        <v>1</v>
      </c>
      <c r="AA117">
        <v>325</v>
      </c>
    </row>
    <row r="118" spans="23:27" x14ac:dyDescent="0.15">
      <c r="W118" t="s">
        <v>43</v>
      </c>
      <c r="X118">
        <v>1281.5</v>
      </c>
      <c r="Y118" t="s">
        <v>83</v>
      </c>
      <c r="Z118">
        <v>1</v>
      </c>
      <c r="AA118">
        <v>454</v>
      </c>
    </row>
    <row r="119" spans="23:27" x14ac:dyDescent="0.15">
      <c r="W119" t="s">
        <v>43</v>
      </c>
      <c r="X119">
        <v>399.22</v>
      </c>
      <c r="Y119" t="s">
        <v>85</v>
      </c>
      <c r="Z119">
        <v>1</v>
      </c>
      <c r="AA119">
        <v>224</v>
      </c>
    </row>
    <row r="120" spans="23:27" x14ac:dyDescent="0.15">
      <c r="W120" t="s">
        <v>43</v>
      </c>
      <c r="X120">
        <v>3978.99</v>
      </c>
      <c r="Y120" t="s">
        <v>86</v>
      </c>
      <c r="Z120">
        <v>1</v>
      </c>
      <c r="AA120">
        <v>879</v>
      </c>
    </row>
    <row r="121" spans="23:27" x14ac:dyDescent="0.15">
      <c r="W121" t="s">
        <v>43</v>
      </c>
      <c r="X121">
        <v>515.70000000000005</v>
      </c>
      <c r="Y121" t="s">
        <v>88</v>
      </c>
      <c r="Z121">
        <v>1</v>
      </c>
      <c r="AA121">
        <v>368</v>
      </c>
    </row>
    <row r="122" spans="23:27" x14ac:dyDescent="0.15">
      <c r="W122" t="s">
        <v>43</v>
      </c>
      <c r="X122">
        <v>3261.15</v>
      </c>
      <c r="Y122" t="s">
        <v>89</v>
      </c>
      <c r="Z122">
        <v>3</v>
      </c>
      <c r="AA122">
        <v>1544</v>
      </c>
    </row>
    <row r="123" spans="23:27" x14ac:dyDescent="0.15">
      <c r="W123" t="s">
        <v>43</v>
      </c>
      <c r="X123">
        <v>376.24</v>
      </c>
      <c r="Y123" t="s">
        <v>90</v>
      </c>
      <c r="Z123">
        <v>1</v>
      </c>
      <c r="AA123">
        <v>241</v>
      </c>
    </row>
    <row r="124" spans="23:27" x14ac:dyDescent="0.15">
      <c r="W124" t="s">
        <v>43</v>
      </c>
      <c r="X124">
        <v>213.15</v>
      </c>
      <c r="Y124" t="s">
        <v>91</v>
      </c>
      <c r="Z124">
        <v>1</v>
      </c>
      <c r="AA124">
        <v>338</v>
      </c>
    </row>
    <row r="125" spans="23:27" x14ac:dyDescent="0.15">
      <c r="W125" t="s">
        <v>43</v>
      </c>
      <c r="X125">
        <v>4570.16</v>
      </c>
      <c r="Y125" t="s">
        <v>92</v>
      </c>
      <c r="Z125">
        <v>3</v>
      </c>
      <c r="AA125">
        <v>1608</v>
      </c>
    </row>
    <row r="126" spans="23:27" x14ac:dyDescent="0.15">
      <c r="W126" t="s">
        <v>43</v>
      </c>
      <c r="X126">
        <v>1490.76</v>
      </c>
      <c r="Y126" t="s">
        <v>93</v>
      </c>
      <c r="Z126">
        <v>3</v>
      </c>
      <c r="AA126">
        <v>869</v>
      </c>
    </row>
    <row r="127" spans="23:27" x14ac:dyDescent="0.15">
      <c r="W127" t="s">
        <v>43</v>
      </c>
      <c r="X127">
        <v>2699.57</v>
      </c>
      <c r="Y127" t="s">
        <v>94</v>
      </c>
      <c r="Z127">
        <v>2</v>
      </c>
      <c r="AA127">
        <v>1537</v>
      </c>
    </row>
    <row r="128" spans="23:27" x14ac:dyDescent="0.15">
      <c r="W128" t="s">
        <v>43</v>
      </c>
      <c r="X128">
        <v>168.9</v>
      </c>
      <c r="Y128" t="s">
        <v>95</v>
      </c>
      <c r="Z128">
        <v>1</v>
      </c>
      <c r="AA128">
        <v>173</v>
      </c>
    </row>
    <row r="129" spans="23:27" x14ac:dyDescent="0.15">
      <c r="W129" t="s">
        <v>44</v>
      </c>
      <c r="X129">
        <v>10033.26</v>
      </c>
      <c r="Y129" t="s">
        <v>83</v>
      </c>
      <c r="Z129">
        <v>17</v>
      </c>
      <c r="AA129">
        <v>5770</v>
      </c>
    </row>
    <row r="130" spans="23:27" x14ac:dyDescent="0.15">
      <c r="W130" t="s">
        <v>44</v>
      </c>
      <c r="X130">
        <v>21904.19</v>
      </c>
      <c r="Y130" t="s">
        <v>84</v>
      </c>
      <c r="Z130">
        <v>7</v>
      </c>
      <c r="AA130">
        <v>8794</v>
      </c>
    </row>
    <row r="131" spans="23:27" x14ac:dyDescent="0.15">
      <c r="W131" t="s">
        <v>44</v>
      </c>
      <c r="X131">
        <v>12248.74</v>
      </c>
      <c r="Y131" t="s">
        <v>85</v>
      </c>
      <c r="Z131">
        <v>13</v>
      </c>
      <c r="AA131">
        <v>6004</v>
      </c>
    </row>
    <row r="132" spans="23:27" x14ac:dyDescent="0.15">
      <c r="W132" t="s">
        <v>44</v>
      </c>
      <c r="X132">
        <v>22197.51</v>
      </c>
      <c r="Y132" t="s">
        <v>86</v>
      </c>
      <c r="Z132">
        <v>23</v>
      </c>
      <c r="AA132">
        <v>9580</v>
      </c>
    </row>
    <row r="133" spans="23:27" x14ac:dyDescent="0.15">
      <c r="W133" t="s">
        <v>44</v>
      </c>
      <c r="X133">
        <v>7570.5</v>
      </c>
      <c r="Y133" t="s">
        <v>87</v>
      </c>
      <c r="Z133">
        <v>11</v>
      </c>
      <c r="AA133">
        <v>4135</v>
      </c>
    </row>
    <row r="134" spans="23:27" x14ac:dyDescent="0.15">
      <c r="W134" t="s">
        <v>44</v>
      </c>
      <c r="X134">
        <v>18008.759999999998</v>
      </c>
      <c r="Y134" t="s">
        <v>88</v>
      </c>
      <c r="Z134">
        <v>22</v>
      </c>
      <c r="AA134">
        <v>8028</v>
      </c>
    </row>
    <row r="135" spans="23:27" x14ac:dyDescent="0.15">
      <c r="W135" t="s">
        <v>44</v>
      </c>
      <c r="X135">
        <v>24863.61</v>
      </c>
      <c r="Y135" t="s">
        <v>89</v>
      </c>
      <c r="Z135">
        <v>28</v>
      </c>
      <c r="AA135">
        <v>12905</v>
      </c>
    </row>
    <row r="136" spans="23:27" x14ac:dyDescent="0.15">
      <c r="W136" t="s">
        <v>44</v>
      </c>
      <c r="X136">
        <v>42789.85</v>
      </c>
      <c r="Y136" t="s">
        <v>90</v>
      </c>
      <c r="Z136">
        <v>27</v>
      </c>
      <c r="AA136">
        <v>22111</v>
      </c>
    </row>
    <row r="137" spans="23:27" x14ac:dyDescent="0.15">
      <c r="W137" t="s">
        <v>44</v>
      </c>
      <c r="X137">
        <v>18353.75</v>
      </c>
      <c r="Y137" t="s">
        <v>91</v>
      </c>
      <c r="Z137">
        <v>19</v>
      </c>
      <c r="AA137">
        <v>10077</v>
      </c>
    </row>
    <row r="138" spans="23:27" x14ac:dyDescent="0.15">
      <c r="W138" t="s">
        <v>44</v>
      </c>
      <c r="X138">
        <v>43086.55</v>
      </c>
      <c r="Y138" t="s">
        <v>92</v>
      </c>
      <c r="Z138">
        <v>38</v>
      </c>
      <c r="AA138">
        <v>23086</v>
      </c>
    </row>
    <row r="139" spans="23:27" x14ac:dyDescent="0.15">
      <c r="W139" t="s">
        <v>44</v>
      </c>
      <c r="X139">
        <v>24317.919999999998</v>
      </c>
      <c r="Y139" t="s">
        <v>93</v>
      </c>
      <c r="Z139">
        <v>31</v>
      </c>
      <c r="AA139">
        <v>15904</v>
      </c>
    </row>
    <row r="140" spans="23:27" x14ac:dyDescent="0.15">
      <c r="W140" t="s">
        <v>44</v>
      </c>
      <c r="X140">
        <v>30738.43</v>
      </c>
      <c r="Y140" t="s">
        <v>94</v>
      </c>
      <c r="Z140">
        <v>42</v>
      </c>
      <c r="AA140">
        <v>16657</v>
      </c>
    </row>
    <row r="141" spans="23:27" x14ac:dyDescent="0.15">
      <c r="W141" t="s">
        <v>44</v>
      </c>
      <c r="X141">
        <v>7340.89</v>
      </c>
      <c r="Y141" t="s">
        <v>95</v>
      </c>
      <c r="Z141">
        <v>10</v>
      </c>
      <c r="AA141">
        <v>4122</v>
      </c>
    </row>
    <row r="142" spans="23:27" x14ac:dyDescent="0.15">
      <c r="W142" t="s">
        <v>45</v>
      </c>
      <c r="X142">
        <v>191.4</v>
      </c>
      <c r="Y142" t="s">
        <v>87</v>
      </c>
      <c r="Z142">
        <v>1</v>
      </c>
      <c r="AA142">
        <v>34</v>
      </c>
    </row>
    <row r="143" spans="23:27" x14ac:dyDescent="0.15">
      <c r="W143" t="s">
        <v>45</v>
      </c>
      <c r="X143">
        <v>432.05</v>
      </c>
      <c r="Y143" t="s">
        <v>89</v>
      </c>
      <c r="Z143">
        <v>2</v>
      </c>
      <c r="AA143">
        <v>130</v>
      </c>
    </row>
    <row r="144" spans="23:27" x14ac:dyDescent="0.15">
      <c r="W144" t="s">
        <v>45</v>
      </c>
      <c r="X144">
        <v>676.8</v>
      </c>
      <c r="Y144" t="s">
        <v>90</v>
      </c>
      <c r="Z144">
        <v>1</v>
      </c>
      <c r="AA144">
        <v>335</v>
      </c>
    </row>
    <row r="145" spans="23:27" x14ac:dyDescent="0.15">
      <c r="W145" t="s">
        <v>46</v>
      </c>
      <c r="X145">
        <v>892.8</v>
      </c>
      <c r="Y145" t="s">
        <v>83</v>
      </c>
      <c r="Z145">
        <v>1</v>
      </c>
      <c r="AA145">
        <v>1254</v>
      </c>
    </row>
    <row r="146" spans="23:27" x14ac:dyDescent="0.15">
      <c r="W146" t="s">
        <v>46</v>
      </c>
      <c r="X146">
        <v>889.02</v>
      </c>
      <c r="Y146" t="s">
        <v>84</v>
      </c>
      <c r="Z146">
        <v>2</v>
      </c>
      <c r="AA146">
        <v>765</v>
      </c>
    </row>
    <row r="147" spans="23:27" x14ac:dyDescent="0.15">
      <c r="W147" t="s">
        <v>46</v>
      </c>
      <c r="X147">
        <v>205.16</v>
      </c>
      <c r="Y147" t="s">
        <v>85</v>
      </c>
      <c r="Z147">
        <v>1</v>
      </c>
      <c r="AA147">
        <v>141</v>
      </c>
    </row>
    <row r="148" spans="23:27" x14ac:dyDescent="0.15">
      <c r="W148" t="s">
        <v>46</v>
      </c>
      <c r="X148">
        <v>5936.82</v>
      </c>
      <c r="Y148" t="s">
        <v>86</v>
      </c>
      <c r="Z148">
        <v>5</v>
      </c>
      <c r="AA148">
        <v>2536</v>
      </c>
    </row>
    <row r="149" spans="23:27" x14ac:dyDescent="0.15">
      <c r="W149" t="s">
        <v>46</v>
      </c>
      <c r="X149">
        <v>1688.92</v>
      </c>
      <c r="Y149" t="s">
        <v>87</v>
      </c>
      <c r="Z149">
        <v>4</v>
      </c>
      <c r="AA149">
        <v>818</v>
      </c>
    </row>
    <row r="150" spans="23:27" x14ac:dyDescent="0.15">
      <c r="W150" t="s">
        <v>46</v>
      </c>
      <c r="X150">
        <v>329.56</v>
      </c>
      <c r="Y150" t="s">
        <v>89</v>
      </c>
      <c r="Z150">
        <v>1</v>
      </c>
      <c r="AA150">
        <v>157</v>
      </c>
    </row>
    <row r="151" spans="23:27" x14ac:dyDescent="0.15">
      <c r="W151" t="s">
        <v>46</v>
      </c>
      <c r="X151">
        <v>2996.73</v>
      </c>
      <c r="Y151" t="s">
        <v>90</v>
      </c>
      <c r="Z151">
        <v>3</v>
      </c>
      <c r="AA151">
        <v>1273</v>
      </c>
    </row>
    <row r="152" spans="23:27" x14ac:dyDescent="0.15">
      <c r="W152" t="s">
        <v>46</v>
      </c>
      <c r="X152">
        <v>1376.5</v>
      </c>
      <c r="Y152" t="s">
        <v>91</v>
      </c>
      <c r="Z152">
        <v>3</v>
      </c>
      <c r="AA152">
        <v>693</v>
      </c>
    </row>
    <row r="153" spans="23:27" x14ac:dyDescent="0.15">
      <c r="W153" t="s">
        <v>46</v>
      </c>
      <c r="X153">
        <v>1105.45</v>
      </c>
      <c r="Y153" t="s">
        <v>92</v>
      </c>
      <c r="Z153">
        <v>4</v>
      </c>
      <c r="AA153">
        <v>515</v>
      </c>
    </row>
    <row r="154" spans="23:27" x14ac:dyDescent="0.15">
      <c r="W154" t="s">
        <v>46</v>
      </c>
      <c r="X154">
        <v>2822.12</v>
      </c>
      <c r="Y154" t="s">
        <v>93</v>
      </c>
      <c r="Z154">
        <v>6</v>
      </c>
      <c r="AA154">
        <v>1115</v>
      </c>
    </row>
    <row r="155" spans="23:27" x14ac:dyDescent="0.15">
      <c r="W155" t="s">
        <v>46</v>
      </c>
      <c r="X155">
        <v>3070.24</v>
      </c>
      <c r="Y155" t="s">
        <v>94</v>
      </c>
      <c r="Z155">
        <v>8</v>
      </c>
      <c r="AA155">
        <v>1087</v>
      </c>
    </row>
    <row r="156" spans="23:27" x14ac:dyDescent="0.15">
      <c r="W156" t="s">
        <v>46</v>
      </c>
      <c r="X156">
        <v>1232.76</v>
      </c>
      <c r="Y156" t="s">
        <v>95</v>
      </c>
      <c r="Z156">
        <v>3</v>
      </c>
      <c r="AA156">
        <v>350</v>
      </c>
    </row>
    <row r="157" spans="23:27" x14ac:dyDescent="0.15">
      <c r="W157" t="s">
        <v>48</v>
      </c>
      <c r="X157">
        <v>9616.31</v>
      </c>
      <c r="Y157" t="s">
        <v>83</v>
      </c>
      <c r="Z157">
        <v>21</v>
      </c>
      <c r="AA157">
        <v>4989</v>
      </c>
    </row>
    <row r="158" spans="23:27" x14ac:dyDescent="0.15">
      <c r="W158" t="s">
        <v>48</v>
      </c>
      <c r="X158">
        <v>17740.12</v>
      </c>
      <c r="Y158" t="s">
        <v>84</v>
      </c>
      <c r="Z158">
        <v>29</v>
      </c>
      <c r="AA158">
        <v>9199</v>
      </c>
    </row>
    <row r="159" spans="23:27" x14ac:dyDescent="0.15">
      <c r="W159" t="s">
        <v>48</v>
      </c>
      <c r="X159">
        <v>8515.9599999999991</v>
      </c>
      <c r="Y159" t="s">
        <v>85</v>
      </c>
      <c r="Z159">
        <v>21</v>
      </c>
      <c r="AA159">
        <v>5340</v>
      </c>
    </row>
    <row r="160" spans="23:27" x14ac:dyDescent="0.15">
      <c r="W160" t="s">
        <v>48</v>
      </c>
      <c r="X160">
        <v>14589.55</v>
      </c>
      <c r="Y160" t="s">
        <v>86</v>
      </c>
      <c r="Z160">
        <v>25</v>
      </c>
      <c r="AA160">
        <v>8690</v>
      </c>
    </row>
    <row r="161" spans="23:27" x14ac:dyDescent="0.15">
      <c r="W161" t="s">
        <v>48</v>
      </c>
      <c r="X161">
        <v>5529.61</v>
      </c>
      <c r="Y161" t="s">
        <v>87</v>
      </c>
      <c r="Z161">
        <v>14</v>
      </c>
      <c r="AA161">
        <v>2287</v>
      </c>
    </row>
    <row r="162" spans="23:27" x14ac:dyDescent="0.15">
      <c r="W162" t="s">
        <v>48</v>
      </c>
      <c r="X162">
        <v>17614.88</v>
      </c>
      <c r="Y162" t="s">
        <v>88</v>
      </c>
      <c r="Z162">
        <v>39</v>
      </c>
      <c r="AA162">
        <v>9788</v>
      </c>
    </row>
    <row r="163" spans="23:27" x14ac:dyDescent="0.15">
      <c r="W163" t="s">
        <v>48</v>
      </c>
      <c r="X163">
        <v>16348.41</v>
      </c>
      <c r="Y163" t="s">
        <v>89</v>
      </c>
      <c r="Z163">
        <v>31</v>
      </c>
      <c r="AA163">
        <v>9705</v>
      </c>
    </row>
    <row r="164" spans="23:27" x14ac:dyDescent="0.15">
      <c r="W164" t="s">
        <v>48</v>
      </c>
      <c r="X164">
        <v>10000.19</v>
      </c>
      <c r="Y164" t="s">
        <v>90</v>
      </c>
      <c r="Z164">
        <v>22</v>
      </c>
      <c r="AA164">
        <v>5664</v>
      </c>
    </row>
    <row r="165" spans="23:27" x14ac:dyDescent="0.15">
      <c r="W165" t="s">
        <v>48</v>
      </c>
      <c r="X165">
        <v>13810.96</v>
      </c>
      <c r="Y165" t="s">
        <v>91</v>
      </c>
      <c r="Z165">
        <v>28</v>
      </c>
      <c r="AA165">
        <v>7958</v>
      </c>
    </row>
    <row r="166" spans="23:27" x14ac:dyDescent="0.15">
      <c r="W166" t="s">
        <v>48</v>
      </c>
      <c r="X166">
        <v>23428.04</v>
      </c>
      <c r="Y166" t="s">
        <v>92</v>
      </c>
      <c r="Z166">
        <v>45</v>
      </c>
      <c r="AA166">
        <v>13002</v>
      </c>
    </row>
    <row r="167" spans="23:27" x14ac:dyDescent="0.15">
      <c r="W167" t="s">
        <v>48</v>
      </c>
      <c r="X167">
        <v>33485.449999999997</v>
      </c>
      <c r="Y167" t="s">
        <v>93</v>
      </c>
      <c r="Z167">
        <v>35</v>
      </c>
      <c r="AA167">
        <v>13807</v>
      </c>
    </row>
    <row r="168" spans="23:27" x14ac:dyDescent="0.15">
      <c r="W168" t="s">
        <v>48</v>
      </c>
      <c r="X168">
        <v>31758.71</v>
      </c>
      <c r="Y168" t="s">
        <v>94</v>
      </c>
      <c r="Z168">
        <v>64</v>
      </c>
      <c r="AA168">
        <v>17889</v>
      </c>
    </row>
    <row r="169" spans="23:27" x14ac:dyDescent="0.15">
      <c r="W169" t="s">
        <v>48</v>
      </c>
      <c r="X169">
        <v>7276.92</v>
      </c>
      <c r="Y169" t="s">
        <v>95</v>
      </c>
      <c r="Z169">
        <v>18</v>
      </c>
      <c r="AA169">
        <v>3785</v>
      </c>
    </row>
    <row r="170" spans="23:27" x14ac:dyDescent="0.15">
      <c r="W170" t="s">
        <v>49</v>
      </c>
      <c r="X170">
        <v>15241.14</v>
      </c>
      <c r="Y170" t="s">
        <v>83</v>
      </c>
      <c r="Z170">
        <v>30</v>
      </c>
      <c r="AA170">
        <v>6877</v>
      </c>
    </row>
    <row r="171" spans="23:27" x14ac:dyDescent="0.15">
      <c r="W171" t="s">
        <v>49</v>
      </c>
      <c r="X171">
        <v>16910.84</v>
      </c>
      <c r="Y171" t="s">
        <v>84</v>
      </c>
      <c r="Z171">
        <v>31</v>
      </c>
      <c r="AA171">
        <v>9077</v>
      </c>
    </row>
    <row r="172" spans="23:27" x14ac:dyDescent="0.15">
      <c r="W172" t="s">
        <v>49</v>
      </c>
      <c r="X172">
        <v>9581.0499999999993</v>
      </c>
      <c r="Y172" t="s">
        <v>85</v>
      </c>
      <c r="Z172">
        <v>19</v>
      </c>
      <c r="AA172">
        <v>4245</v>
      </c>
    </row>
    <row r="173" spans="23:27" x14ac:dyDescent="0.15">
      <c r="W173" t="s">
        <v>49</v>
      </c>
      <c r="X173">
        <v>14392.69</v>
      </c>
      <c r="Y173" t="s">
        <v>86</v>
      </c>
      <c r="Z173">
        <v>32</v>
      </c>
      <c r="AA173">
        <v>7739</v>
      </c>
    </row>
    <row r="174" spans="23:27" x14ac:dyDescent="0.15">
      <c r="W174" t="s">
        <v>49</v>
      </c>
      <c r="X174">
        <v>12315.54</v>
      </c>
      <c r="Y174" t="s">
        <v>87</v>
      </c>
      <c r="Z174">
        <v>23</v>
      </c>
      <c r="AA174">
        <v>5764</v>
      </c>
    </row>
    <row r="175" spans="23:27" x14ac:dyDescent="0.15">
      <c r="W175" t="s">
        <v>49</v>
      </c>
      <c r="X175">
        <v>25751.200000000001</v>
      </c>
      <c r="Y175" t="s">
        <v>88</v>
      </c>
      <c r="Z175">
        <v>42</v>
      </c>
      <c r="AA175">
        <v>12997</v>
      </c>
    </row>
    <row r="176" spans="23:27" x14ac:dyDescent="0.15">
      <c r="W176" t="s">
        <v>49</v>
      </c>
      <c r="X176">
        <v>13274.1</v>
      </c>
      <c r="Y176" t="s">
        <v>89</v>
      </c>
      <c r="Z176">
        <v>24</v>
      </c>
      <c r="AA176">
        <v>7470</v>
      </c>
    </row>
    <row r="177" spans="23:27" x14ac:dyDescent="0.15">
      <c r="W177" t="s">
        <v>49</v>
      </c>
      <c r="X177">
        <v>16440.98</v>
      </c>
      <c r="Y177" t="s">
        <v>90</v>
      </c>
      <c r="Z177">
        <v>33</v>
      </c>
      <c r="AA177">
        <v>9096</v>
      </c>
    </row>
    <row r="178" spans="23:27" x14ac:dyDescent="0.15">
      <c r="W178" t="s">
        <v>49</v>
      </c>
      <c r="X178">
        <v>19220.77</v>
      </c>
      <c r="Y178" t="s">
        <v>91</v>
      </c>
      <c r="Z178">
        <v>39</v>
      </c>
      <c r="AA178">
        <v>9641</v>
      </c>
    </row>
    <row r="179" spans="23:27" x14ac:dyDescent="0.15">
      <c r="W179" t="s">
        <v>49</v>
      </c>
      <c r="X179">
        <v>18091.22</v>
      </c>
      <c r="Y179" t="s">
        <v>92</v>
      </c>
      <c r="Z179">
        <v>41</v>
      </c>
      <c r="AA179">
        <v>11156</v>
      </c>
    </row>
    <row r="180" spans="23:27" x14ac:dyDescent="0.15">
      <c r="W180" t="s">
        <v>49</v>
      </c>
      <c r="X180">
        <v>31638.42</v>
      </c>
      <c r="Y180" t="s">
        <v>93</v>
      </c>
      <c r="Z180">
        <v>58</v>
      </c>
      <c r="AA180">
        <v>17740</v>
      </c>
    </row>
    <row r="181" spans="23:27" x14ac:dyDescent="0.15">
      <c r="W181" t="s">
        <v>49</v>
      </c>
      <c r="X181">
        <v>28025.02</v>
      </c>
      <c r="Y181" t="s">
        <v>94</v>
      </c>
      <c r="Z181">
        <v>68</v>
      </c>
      <c r="AA181">
        <v>13453</v>
      </c>
    </row>
    <row r="182" spans="23:27" x14ac:dyDescent="0.15">
      <c r="W182" t="s">
        <v>49</v>
      </c>
      <c r="X182">
        <v>7984.17</v>
      </c>
      <c r="Y182" t="s">
        <v>95</v>
      </c>
      <c r="Z182">
        <v>17</v>
      </c>
      <c r="AA182">
        <v>4006</v>
      </c>
    </row>
    <row r="183" spans="23:27" x14ac:dyDescent="0.15">
      <c r="W183" t="s">
        <v>50</v>
      </c>
      <c r="X183">
        <v>2661.24</v>
      </c>
      <c r="Y183" t="s">
        <v>84</v>
      </c>
      <c r="Z183">
        <v>1</v>
      </c>
      <c r="AA183">
        <v>526</v>
      </c>
    </row>
    <row r="184" spans="23:27" x14ac:dyDescent="0.15">
      <c r="W184" t="s">
        <v>50</v>
      </c>
      <c r="X184">
        <v>387.31</v>
      </c>
      <c r="Y184" t="s">
        <v>86</v>
      </c>
      <c r="Z184">
        <v>1</v>
      </c>
      <c r="AA184">
        <v>289</v>
      </c>
    </row>
    <row r="185" spans="23:27" x14ac:dyDescent="0.15">
      <c r="W185" t="s">
        <v>50</v>
      </c>
      <c r="X185">
        <v>609.74</v>
      </c>
      <c r="Y185" t="s">
        <v>87</v>
      </c>
      <c r="Z185">
        <v>1</v>
      </c>
      <c r="AA185">
        <v>262</v>
      </c>
    </row>
    <row r="186" spans="23:27" x14ac:dyDescent="0.15">
      <c r="W186" t="s">
        <v>50</v>
      </c>
      <c r="X186">
        <v>421.24</v>
      </c>
      <c r="Y186" t="s">
        <v>90</v>
      </c>
      <c r="Z186">
        <v>1</v>
      </c>
      <c r="AA186">
        <v>244</v>
      </c>
    </row>
    <row r="187" spans="23:27" x14ac:dyDescent="0.15">
      <c r="W187" t="s">
        <v>50</v>
      </c>
      <c r="X187">
        <v>680.99</v>
      </c>
      <c r="Y187" t="s">
        <v>95</v>
      </c>
      <c r="Z187">
        <v>1</v>
      </c>
      <c r="AA187">
        <v>236</v>
      </c>
    </row>
    <row r="188" spans="23:27" x14ac:dyDescent="0.15">
      <c r="W188" t="s">
        <v>51</v>
      </c>
      <c r="X188">
        <v>2439.7600000000002</v>
      </c>
      <c r="Y188" t="s">
        <v>84</v>
      </c>
      <c r="Z188">
        <v>1</v>
      </c>
      <c r="AA188">
        <v>1121</v>
      </c>
    </row>
    <row r="189" spans="23:27" x14ac:dyDescent="0.15">
      <c r="W189" t="s">
        <v>51</v>
      </c>
      <c r="X189">
        <v>2583.7600000000002</v>
      </c>
      <c r="Y189" t="s">
        <v>86</v>
      </c>
      <c r="Z189">
        <v>1</v>
      </c>
      <c r="AA189">
        <v>1</v>
      </c>
    </row>
    <row r="190" spans="23:27" x14ac:dyDescent="0.15">
      <c r="W190" t="s">
        <v>51</v>
      </c>
      <c r="X190">
        <v>1539.64</v>
      </c>
      <c r="Y190" t="s">
        <v>87</v>
      </c>
      <c r="Z190">
        <v>1</v>
      </c>
      <c r="AA190">
        <v>732</v>
      </c>
    </row>
    <row r="191" spans="23:27" x14ac:dyDescent="0.15">
      <c r="W191" t="s">
        <v>51</v>
      </c>
      <c r="X191">
        <v>1966.16</v>
      </c>
      <c r="Y191" t="s">
        <v>88</v>
      </c>
      <c r="Z191">
        <v>1</v>
      </c>
      <c r="AA191">
        <v>1262</v>
      </c>
    </row>
    <row r="192" spans="23:27" x14ac:dyDescent="0.15">
      <c r="W192" t="s">
        <v>51</v>
      </c>
      <c r="X192">
        <v>633.96</v>
      </c>
      <c r="Y192" t="s">
        <v>89</v>
      </c>
      <c r="Z192">
        <v>1</v>
      </c>
      <c r="AA192">
        <v>537</v>
      </c>
    </row>
    <row r="193" spans="23:27" x14ac:dyDescent="0.15">
      <c r="W193" t="s">
        <v>51</v>
      </c>
      <c r="X193">
        <v>2813.95</v>
      </c>
      <c r="Y193" t="s">
        <v>91</v>
      </c>
      <c r="Z193">
        <v>2</v>
      </c>
      <c r="AA193">
        <v>736</v>
      </c>
    </row>
    <row r="194" spans="23:27" x14ac:dyDescent="0.15">
      <c r="W194" t="s">
        <v>51</v>
      </c>
      <c r="X194">
        <v>2653.95</v>
      </c>
      <c r="Y194" t="s">
        <v>92</v>
      </c>
      <c r="Z194">
        <v>1</v>
      </c>
      <c r="AA194">
        <v>1</v>
      </c>
    </row>
    <row r="195" spans="23:27" x14ac:dyDescent="0.15">
      <c r="W195" t="s">
        <v>51</v>
      </c>
      <c r="X195">
        <v>734.52</v>
      </c>
      <c r="Y195" t="s">
        <v>93</v>
      </c>
      <c r="Z195">
        <v>2</v>
      </c>
      <c r="AA195">
        <v>382</v>
      </c>
    </row>
    <row r="196" spans="23:27" x14ac:dyDescent="0.15">
      <c r="W196" t="s">
        <v>51</v>
      </c>
      <c r="X196">
        <v>326.10000000000002</v>
      </c>
      <c r="Y196" t="s">
        <v>94</v>
      </c>
      <c r="Z196">
        <v>1</v>
      </c>
      <c r="AA196">
        <v>1</v>
      </c>
    </row>
    <row r="197" spans="23:27" x14ac:dyDescent="0.15">
      <c r="W197" t="s">
        <v>52</v>
      </c>
      <c r="X197">
        <v>711.79</v>
      </c>
      <c r="Y197" t="s">
        <v>83</v>
      </c>
      <c r="Z197">
        <v>1</v>
      </c>
      <c r="AA197">
        <v>319</v>
      </c>
    </row>
    <row r="198" spans="23:27" x14ac:dyDescent="0.15">
      <c r="W198" t="s">
        <v>52</v>
      </c>
      <c r="X198">
        <v>475.39</v>
      </c>
      <c r="Y198" t="s">
        <v>84</v>
      </c>
      <c r="Z198">
        <v>1</v>
      </c>
      <c r="AA198">
        <v>315</v>
      </c>
    </row>
    <row r="199" spans="23:27" x14ac:dyDescent="0.15">
      <c r="W199" t="s">
        <v>52</v>
      </c>
      <c r="X199">
        <v>636.25</v>
      </c>
      <c r="Y199" t="s">
        <v>87</v>
      </c>
      <c r="Z199">
        <v>1</v>
      </c>
      <c r="AA199">
        <v>483</v>
      </c>
    </row>
    <row r="200" spans="23:27" x14ac:dyDescent="0.15">
      <c r="W200" t="s">
        <v>52</v>
      </c>
      <c r="X200">
        <v>382.52</v>
      </c>
      <c r="Y200" t="s">
        <v>89</v>
      </c>
      <c r="Z200">
        <v>1</v>
      </c>
      <c r="AA200">
        <v>196</v>
      </c>
    </row>
    <row r="201" spans="23:27" x14ac:dyDescent="0.15">
      <c r="W201" t="s">
        <v>52</v>
      </c>
      <c r="X201">
        <v>584.91000000000008</v>
      </c>
      <c r="Y201" t="s">
        <v>91</v>
      </c>
      <c r="Z201">
        <v>1</v>
      </c>
      <c r="AA201">
        <v>277</v>
      </c>
    </row>
    <row r="202" spans="23:27" x14ac:dyDescent="0.15">
      <c r="W202" t="s">
        <v>52</v>
      </c>
      <c r="X202">
        <v>1294.32</v>
      </c>
      <c r="Y202" t="s">
        <v>93</v>
      </c>
      <c r="Z202">
        <v>1</v>
      </c>
      <c r="AA202">
        <v>676</v>
      </c>
    </row>
    <row r="203" spans="23:27" x14ac:dyDescent="0.15">
      <c r="W203" t="s">
        <v>52</v>
      </c>
      <c r="X203">
        <v>224.82</v>
      </c>
      <c r="Y203" t="s">
        <v>95</v>
      </c>
      <c r="Z203">
        <v>1</v>
      </c>
      <c r="AA203">
        <v>192</v>
      </c>
    </row>
    <row r="204" spans="23:27" x14ac:dyDescent="0.15">
      <c r="W204" t="s">
        <v>53</v>
      </c>
      <c r="X204">
        <v>379.84</v>
      </c>
      <c r="Y204" t="s">
        <v>84</v>
      </c>
      <c r="Z204">
        <v>1</v>
      </c>
      <c r="AA204">
        <v>100</v>
      </c>
    </row>
    <row r="205" spans="23:27" x14ac:dyDescent="0.15">
      <c r="W205" t="s">
        <v>53</v>
      </c>
      <c r="X205">
        <v>779.1</v>
      </c>
      <c r="Y205" t="s">
        <v>85</v>
      </c>
      <c r="Z205">
        <v>1</v>
      </c>
      <c r="AA205">
        <v>286</v>
      </c>
    </row>
    <row r="206" spans="23:27" x14ac:dyDescent="0.15">
      <c r="W206" t="s">
        <v>53</v>
      </c>
      <c r="X206">
        <v>110</v>
      </c>
      <c r="Y206" t="s">
        <v>87</v>
      </c>
      <c r="Z206">
        <v>1</v>
      </c>
      <c r="AA206">
        <v>30</v>
      </c>
    </row>
    <row r="207" spans="23:27" x14ac:dyDescent="0.15">
      <c r="W207" t="s">
        <v>53</v>
      </c>
      <c r="X207">
        <v>1430.75</v>
      </c>
      <c r="Y207" t="s">
        <v>90</v>
      </c>
      <c r="Z207">
        <v>1</v>
      </c>
      <c r="AA207">
        <v>633</v>
      </c>
    </row>
    <row r="208" spans="23:27" x14ac:dyDescent="0.15">
      <c r="W208" t="s">
        <v>53</v>
      </c>
      <c r="X208">
        <v>4873.8099999999986</v>
      </c>
      <c r="Y208" t="s">
        <v>91</v>
      </c>
      <c r="Z208">
        <v>1</v>
      </c>
      <c r="AA208">
        <v>3028</v>
      </c>
    </row>
    <row r="209" spans="23:27" x14ac:dyDescent="0.15">
      <c r="W209" t="s">
        <v>53</v>
      </c>
      <c r="X209">
        <v>423.73</v>
      </c>
      <c r="Y209" t="s">
        <v>92</v>
      </c>
      <c r="Z209">
        <v>1</v>
      </c>
      <c r="AA209">
        <v>233</v>
      </c>
    </row>
    <row r="210" spans="23:27" x14ac:dyDescent="0.15">
      <c r="W210" t="s">
        <v>53</v>
      </c>
      <c r="X210">
        <v>138.03</v>
      </c>
      <c r="Y210" t="s">
        <v>93</v>
      </c>
      <c r="Z210">
        <v>2</v>
      </c>
      <c r="AA210">
        <v>99</v>
      </c>
    </row>
    <row r="211" spans="23:27" x14ac:dyDescent="0.15">
      <c r="W211" t="s">
        <v>54</v>
      </c>
      <c r="X211">
        <v>811.5</v>
      </c>
      <c r="Y211" t="s">
        <v>83</v>
      </c>
      <c r="Z211">
        <v>2</v>
      </c>
      <c r="AA211">
        <v>295</v>
      </c>
    </row>
    <row r="212" spans="23:27" x14ac:dyDescent="0.15">
      <c r="W212" t="s">
        <v>54</v>
      </c>
      <c r="X212">
        <v>2402.5100000000002</v>
      </c>
      <c r="Y212" t="s">
        <v>84</v>
      </c>
      <c r="Z212">
        <v>3</v>
      </c>
      <c r="AA212">
        <v>1121</v>
      </c>
    </row>
    <row r="213" spans="23:27" x14ac:dyDescent="0.15">
      <c r="W213" t="s">
        <v>54</v>
      </c>
      <c r="X213">
        <v>256</v>
      </c>
      <c r="Y213" t="s">
        <v>85</v>
      </c>
      <c r="Z213">
        <v>1</v>
      </c>
      <c r="AA213">
        <v>111</v>
      </c>
    </row>
    <row r="214" spans="23:27" x14ac:dyDescent="0.15">
      <c r="W214" t="s">
        <v>54</v>
      </c>
      <c r="X214">
        <v>1806.81</v>
      </c>
      <c r="Y214" t="s">
        <v>86</v>
      </c>
      <c r="Z214">
        <v>4</v>
      </c>
      <c r="AA214">
        <v>688</v>
      </c>
    </row>
    <row r="215" spans="23:27" x14ac:dyDescent="0.15">
      <c r="W215" t="s">
        <v>54</v>
      </c>
      <c r="X215">
        <v>737.82999999999993</v>
      </c>
      <c r="Y215" t="s">
        <v>87</v>
      </c>
      <c r="Z215">
        <v>2</v>
      </c>
      <c r="AA215">
        <v>653</v>
      </c>
    </row>
    <row r="216" spans="23:27" x14ac:dyDescent="0.15">
      <c r="W216" t="s">
        <v>54</v>
      </c>
      <c r="X216">
        <v>587.45000000000005</v>
      </c>
      <c r="Y216" t="s">
        <v>88</v>
      </c>
      <c r="Z216">
        <v>1</v>
      </c>
      <c r="AA216">
        <v>267</v>
      </c>
    </row>
    <row r="217" spans="23:27" x14ac:dyDescent="0.15">
      <c r="W217" t="s">
        <v>54</v>
      </c>
      <c r="X217">
        <v>202.07</v>
      </c>
      <c r="Y217" t="s">
        <v>89</v>
      </c>
      <c r="Z217">
        <v>2</v>
      </c>
      <c r="AA217">
        <v>55</v>
      </c>
    </row>
    <row r="218" spans="23:27" x14ac:dyDescent="0.15">
      <c r="W218" t="s">
        <v>54</v>
      </c>
      <c r="X218">
        <v>147.1</v>
      </c>
      <c r="Y218" t="s">
        <v>90</v>
      </c>
      <c r="Z218">
        <v>1</v>
      </c>
      <c r="AA218">
        <v>22</v>
      </c>
    </row>
    <row r="219" spans="23:27" x14ac:dyDescent="0.15">
      <c r="W219" t="s">
        <v>54</v>
      </c>
      <c r="X219">
        <v>1990.95</v>
      </c>
      <c r="Y219" t="s">
        <v>91</v>
      </c>
      <c r="Z219">
        <v>4</v>
      </c>
      <c r="AA219">
        <v>1147</v>
      </c>
    </row>
    <row r="220" spans="23:27" x14ac:dyDescent="0.15">
      <c r="W220" t="s">
        <v>54</v>
      </c>
      <c r="X220">
        <v>279.8</v>
      </c>
      <c r="Y220" t="s">
        <v>92</v>
      </c>
      <c r="Z220">
        <v>1</v>
      </c>
      <c r="AA220">
        <v>48</v>
      </c>
    </row>
    <row r="221" spans="23:27" x14ac:dyDescent="0.15">
      <c r="W221" t="s">
        <v>54</v>
      </c>
      <c r="X221">
        <v>3489.69</v>
      </c>
      <c r="Y221" t="s">
        <v>93</v>
      </c>
      <c r="Z221">
        <v>7</v>
      </c>
      <c r="AA221">
        <v>1597</v>
      </c>
    </row>
    <row r="222" spans="23:27" x14ac:dyDescent="0.15">
      <c r="W222" t="s">
        <v>54</v>
      </c>
      <c r="X222">
        <v>4571.08</v>
      </c>
      <c r="Y222" t="s">
        <v>94</v>
      </c>
      <c r="Z222">
        <v>9</v>
      </c>
      <c r="AA222">
        <v>2063</v>
      </c>
    </row>
    <row r="223" spans="23:27" x14ac:dyDescent="0.15">
      <c r="W223" t="s">
        <v>54</v>
      </c>
      <c r="X223">
        <v>200.45</v>
      </c>
      <c r="Y223" t="s">
        <v>95</v>
      </c>
      <c r="Z223">
        <v>1</v>
      </c>
      <c r="AA223">
        <v>45</v>
      </c>
    </row>
    <row r="224" spans="23:27" x14ac:dyDescent="0.15">
      <c r="W224" t="s">
        <v>55</v>
      </c>
      <c r="X224">
        <v>7705.07</v>
      </c>
      <c r="Y224" t="s">
        <v>83</v>
      </c>
      <c r="Z224">
        <v>3</v>
      </c>
      <c r="AA224">
        <v>4093</v>
      </c>
    </row>
    <row r="225" spans="23:27" x14ac:dyDescent="0.15">
      <c r="W225" t="s">
        <v>55</v>
      </c>
      <c r="X225">
        <v>5780.8099999999986</v>
      </c>
      <c r="Y225" t="s">
        <v>85</v>
      </c>
      <c r="Z225">
        <v>2</v>
      </c>
      <c r="AA225">
        <v>2999</v>
      </c>
    </row>
    <row r="226" spans="23:27" x14ac:dyDescent="0.15">
      <c r="W226" t="s">
        <v>55</v>
      </c>
      <c r="X226">
        <v>48.9</v>
      </c>
      <c r="Y226" t="s">
        <v>86</v>
      </c>
      <c r="Z226">
        <v>3</v>
      </c>
      <c r="AA226">
        <v>21</v>
      </c>
    </row>
    <row r="227" spans="23:27" x14ac:dyDescent="0.15">
      <c r="W227" t="s">
        <v>55</v>
      </c>
      <c r="X227">
        <v>6548.5</v>
      </c>
      <c r="Y227" t="s">
        <v>87</v>
      </c>
      <c r="Z227">
        <v>2</v>
      </c>
      <c r="AA227">
        <v>8058</v>
      </c>
    </row>
    <row r="228" spans="23:27" x14ac:dyDescent="0.15">
      <c r="W228" t="s">
        <v>55</v>
      </c>
      <c r="X228">
        <v>1351.45</v>
      </c>
      <c r="Y228" t="s">
        <v>88</v>
      </c>
      <c r="Z228">
        <v>1</v>
      </c>
      <c r="AA228">
        <v>743</v>
      </c>
    </row>
    <row r="229" spans="23:27" x14ac:dyDescent="0.15">
      <c r="W229" t="s">
        <v>55</v>
      </c>
      <c r="X229">
        <v>1607.04</v>
      </c>
      <c r="Y229" t="s">
        <v>89</v>
      </c>
      <c r="Z229">
        <v>1</v>
      </c>
      <c r="AA229">
        <v>2256</v>
      </c>
    </row>
    <row r="230" spans="23:27" x14ac:dyDescent="0.15">
      <c r="W230" t="s">
        <v>55</v>
      </c>
      <c r="X230">
        <v>3854.4</v>
      </c>
      <c r="Y230" t="s">
        <v>90</v>
      </c>
      <c r="Z230">
        <v>2</v>
      </c>
      <c r="AA230">
        <v>2328</v>
      </c>
    </row>
    <row r="231" spans="23:27" x14ac:dyDescent="0.15">
      <c r="W231" t="s">
        <v>55</v>
      </c>
      <c r="X231">
        <v>112.08</v>
      </c>
      <c r="Y231" t="s">
        <v>92</v>
      </c>
      <c r="Z231">
        <v>1</v>
      </c>
      <c r="AA231">
        <v>144</v>
      </c>
    </row>
    <row r="232" spans="23:27" x14ac:dyDescent="0.15">
      <c r="W232" t="s">
        <v>55</v>
      </c>
      <c r="X232">
        <v>1948.04</v>
      </c>
      <c r="Y232" t="s">
        <v>93</v>
      </c>
      <c r="Z232">
        <v>2</v>
      </c>
      <c r="AA232">
        <v>1124</v>
      </c>
    </row>
    <row r="233" spans="23:27" x14ac:dyDescent="0.15">
      <c r="W233" t="s">
        <v>55</v>
      </c>
      <c r="X233">
        <v>8460.08</v>
      </c>
      <c r="Y233" t="s">
        <v>94</v>
      </c>
      <c r="Z233">
        <v>2</v>
      </c>
      <c r="AA233">
        <v>4250</v>
      </c>
    </row>
    <row r="234" spans="23:27" x14ac:dyDescent="0.15">
      <c r="W234" t="s">
        <v>56</v>
      </c>
      <c r="X234">
        <v>1693.88</v>
      </c>
      <c r="Y234" t="s">
        <v>84</v>
      </c>
      <c r="Z234">
        <v>1</v>
      </c>
      <c r="AA234">
        <v>386</v>
      </c>
    </row>
    <row r="235" spans="23:27" x14ac:dyDescent="0.15">
      <c r="W235" t="s">
        <v>57</v>
      </c>
      <c r="X235">
        <v>1661.06</v>
      </c>
      <c r="Y235" t="s">
        <v>83</v>
      </c>
      <c r="Z235">
        <v>4</v>
      </c>
      <c r="AA235">
        <v>652</v>
      </c>
    </row>
    <row r="236" spans="23:27" x14ac:dyDescent="0.15">
      <c r="W236" t="s">
        <v>58</v>
      </c>
      <c r="X236">
        <v>863.16</v>
      </c>
      <c r="Y236" t="s">
        <v>89</v>
      </c>
      <c r="Z236">
        <v>2</v>
      </c>
      <c r="AA236">
        <v>402</v>
      </c>
    </row>
    <row r="237" spans="23:27" x14ac:dyDescent="0.15">
      <c r="W237" t="s">
        <v>58</v>
      </c>
      <c r="X237">
        <v>1119</v>
      </c>
      <c r="Y237" t="s">
        <v>91</v>
      </c>
      <c r="Z237">
        <v>2</v>
      </c>
      <c r="AA237">
        <v>382</v>
      </c>
    </row>
    <row r="238" spans="23:27" x14ac:dyDescent="0.15">
      <c r="W238" t="s">
        <v>58</v>
      </c>
      <c r="X238">
        <v>743.43</v>
      </c>
      <c r="Y238" t="s">
        <v>94</v>
      </c>
      <c r="Z238">
        <v>1</v>
      </c>
      <c r="AA238">
        <v>186</v>
      </c>
    </row>
    <row r="239" spans="23:27" x14ac:dyDescent="0.15">
      <c r="W239" t="s">
        <v>59</v>
      </c>
      <c r="X239">
        <v>8784.48</v>
      </c>
      <c r="Y239" t="s">
        <v>83</v>
      </c>
      <c r="Z239">
        <v>3</v>
      </c>
      <c r="AA239">
        <v>6811</v>
      </c>
    </row>
    <row r="240" spans="23:27" x14ac:dyDescent="0.15">
      <c r="W240" t="s">
        <v>59</v>
      </c>
      <c r="X240">
        <v>26611.16</v>
      </c>
      <c r="Y240" t="s">
        <v>84</v>
      </c>
      <c r="Z240">
        <v>5</v>
      </c>
      <c r="AA240">
        <v>20417</v>
      </c>
    </row>
    <row r="241" spans="23:27" x14ac:dyDescent="0.15">
      <c r="W241" t="s">
        <v>59</v>
      </c>
      <c r="X241">
        <v>23011.91</v>
      </c>
      <c r="Y241" t="s">
        <v>85</v>
      </c>
      <c r="Z241">
        <v>5</v>
      </c>
      <c r="AA241">
        <v>16387</v>
      </c>
    </row>
    <row r="242" spans="23:27" x14ac:dyDescent="0.15">
      <c r="W242" t="s">
        <v>59</v>
      </c>
      <c r="X242">
        <v>22416.49</v>
      </c>
      <c r="Y242" t="s">
        <v>86</v>
      </c>
      <c r="Z242">
        <v>8</v>
      </c>
      <c r="AA242">
        <v>14828</v>
      </c>
    </row>
    <row r="243" spans="23:27" x14ac:dyDescent="0.15">
      <c r="W243" t="s">
        <v>59</v>
      </c>
      <c r="X243">
        <v>2976.56</v>
      </c>
      <c r="Y243" t="s">
        <v>87</v>
      </c>
      <c r="Z243">
        <v>3</v>
      </c>
      <c r="AA243">
        <v>1768</v>
      </c>
    </row>
    <row r="244" spans="23:27" x14ac:dyDescent="0.15">
      <c r="W244" t="s">
        <v>59</v>
      </c>
      <c r="X244">
        <v>29185.88</v>
      </c>
      <c r="Y244" t="s">
        <v>88</v>
      </c>
      <c r="Z244">
        <v>11</v>
      </c>
      <c r="AA244">
        <v>19936</v>
      </c>
    </row>
    <row r="245" spans="23:27" x14ac:dyDescent="0.15">
      <c r="W245" t="s">
        <v>59</v>
      </c>
      <c r="X245">
        <v>26858.09</v>
      </c>
      <c r="Y245" t="s">
        <v>89</v>
      </c>
      <c r="Z245">
        <v>11</v>
      </c>
      <c r="AA245">
        <v>19744</v>
      </c>
    </row>
    <row r="246" spans="23:27" x14ac:dyDescent="0.15">
      <c r="W246" t="s">
        <v>59</v>
      </c>
      <c r="X246">
        <v>26.02</v>
      </c>
      <c r="Y246" t="s">
        <v>90</v>
      </c>
      <c r="Z246">
        <v>1</v>
      </c>
      <c r="AA246">
        <v>10</v>
      </c>
    </row>
    <row r="247" spans="23:27" x14ac:dyDescent="0.15">
      <c r="W247" t="s">
        <v>59</v>
      </c>
      <c r="X247">
        <v>40327.81</v>
      </c>
      <c r="Y247" t="s">
        <v>91</v>
      </c>
      <c r="Z247">
        <v>7</v>
      </c>
      <c r="AA247">
        <v>29300</v>
      </c>
    </row>
    <row r="248" spans="23:27" x14ac:dyDescent="0.15">
      <c r="W248" t="s">
        <v>59</v>
      </c>
      <c r="X248">
        <v>26937.26</v>
      </c>
      <c r="Y248" t="s">
        <v>92</v>
      </c>
      <c r="Z248">
        <v>7</v>
      </c>
      <c r="AA248">
        <v>17309</v>
      </c>
    </row>
    <row r="249" spans="23:27" x14ac:dyDescent="0.15">
      <c r="W249" t="s">
        <v>59</v>
      </c>
      <c r="X249">
        <v>40708.65</v>
      </c>
      <c r="Y249" t="s">
        <v>93</v>
      </c>
      <c r="Z249">
        <v>15</v>
      </c>
      <c r="AA249">
        <v>27230</v>
      </c>
    </row>
    <row r="250" spans="23:27" x14ac:dyDescent="0.15">
      <c r="W250" t="s">
        <v>59</v>
      </c>
      <c r="X250">
        <v>25874.01</v>
      </c>
      <c r="Y250" t="s">
        <v>94</v>
      </c>
      <c r="Z250">
        <v>15</v>
      </c>
      <c r="AA250">
        <v>18663</v>
      </c>
    </row>
    <row r="251" spans="23:27" x14ac:dyDescent="0.15">
      <c r="W251" t="s">
        <v>59</v>
      </c>
      <c r="X251">
        <v>11728.02</v>
      </c>
      <c r="Y251" t="s">
        <v>95</v>
      </c>
      <c r="Z251">
        <v>3</v>
      </c>
      <c r="AA251">
        <v>7958</v>
      </c>
    </row>
    <row r="252" spans="23:27" x14ac:dyDescent="0.15">
      <c r="W252" t="s">
        <v>60</v>
      </c>
      <c r="X252">
        <v>3787.12</v>
      </c>
      <c r="Y252" t="s">
        <v>83</v>
      </c>
      <c r="Z252">
        <v>2</v>
      </c>
      <c r="AA252">
        <v>3582</v>
      </c>
    </row>
    <row r="253" spans="23:27" x14ac:dyDescent="0.15">
      <c r="W253" t="s">
        <v>60</v>
      </c>
      <c r="X253">
        <v>630.9</v>
      </c>
      <c r="Y253" t="s">
        <v>85</v>
      </c>
      <c r="Z253">
        <v>2</v>
      </c>
      <c r="AA253">
        <v>295</v>
      </c>
    </row>
    <row r="254" spans="23:27" x14ac:dyDescent="0.15">
      <c r="W254" t="s">
        <v>60</v>
      </c>
      <c r="X254">
        <v>1265.31</v>
      </c>
      <c r="Y254" t="s">
        <v>86</v>
      </c>
      <c r="Z254">
        <v>4</v>
      </c>
      <c r="AA254">
        <v>156</v>
      </c>
    </row>
    <row r="255" spans="23:27" x14ac:dyDescent="0.15">
      <c r="W255" t="s">
        <v>60</v>
      </c>
      <c r="X255">
        <v>5886.8600000000006</v>
      </c>
      <c r="Y255" t="s">
        <v>89</v>
      </c>
      <c r="Z255">
        <v>4</v>
      </c>
      <c r="AA255">
        <v>2009</v>
      </c>
    </row>
    <row r="256" spans="23:27" x14ac:dyDescent="0.15">
      <c r="W256" t="s">
        <v>60</v>
      </c>
      <c r="X256">
        <v>890.06999999999994</v>
      </c>
      <c r="Y256" t="s">
        <v>90</v>
      </c>
      <c r="Z256">
        <v>1</v>
      </c>
      <c r="AA256">
        <v>586</v>
      </c>
    </row>
    <row r="257" spans="23:27" x14ac:dyDescent="0.15">
      <c r="W257" t="s">
        <v>60</v>
      </c>
      <c r="X257">
        <v>2025.81</v>
      </c>
      <c r="Y257" t="s">
        <v>91</v>
      </c>
      <c r="Z257">
        <v>2</v>
      </c>
      <c r="AA257">
        <v>636</v>
      </c>
    </row>
    <row r="258" spans="23:27" x14ac:dyDescent="0.15">
      <c r="W258" t="s">
        <v>60</v>
      </c>
      <c r="X258">
        <v>8678.94</v>
      </c>
      <c r="Y258" t="s">
        <v>92</v>
      </c>
      <c r="Z258">
        <v>6</v>
      </c>
      <c r="AA258">
        <v>4655</v>
      </c>
    </row>
    <row r="259" spans="23:27" x14ac:dyDescent="0.15">
      <c r="W259" t="s">
        <v>60</v>
      </c>
      <c r="X259">
        <v>3687.23</v>
      </c>
      <c r="Y259" t="s">
        <v>93</v>
      </c>
      <c r="Z259">
        <v>7</v>
      </c>
      <c r="AA259">
        <v>1692</v>
      </c>
    </row>
    <row r="260" spans="23:27" x14ac:dyDescent="0.15">
      <c r="W260" t="s">
        <v>60</v>
      </c>
      <c r="X260">
        <v>6527.5</v>
      </c>
      <c r="Y260" t="s">
        <v>94</v>
      </c>
      <c r="Z260">
        <v>5</v>
      </c>
      <c r="AA260">
        <v>3406</v>
      </c>
    </row>
    <row r="261" spans="23:27" x14ac:dyDescent="0.15">
      <c r="W261" t="s">
        <v>60</v>
      </c>
      <c r="X261">
        <v>2785.7</v>
      </c>
      <c r="Y261" t="s">
        <v>95</v>
      </c>
      <c r="Z261">
        <v>3</v>
      </c>
      <c r="AA261">
        <v>2319</v>
      </c>
    </row>
    <row r="262" spans="23:27" x14ac:dyDescent="0.15">
      <c r="W262" t="s">
        <v>61</v>
      </c>
      <c r="X262">
        <v>248.16</v>
      </c>
      <c r="Y262" t="s">
        <v>83</v>
      </c>
      <c r="Z262">
        <v>1</v>
      </c>
      <c r="AA262">
        <v>140</v>
      </c>
    </row>
    <row r="263" spans="23:27" x14ac:dyDescent="0.15">
      <c r="W263" t="s">
        <v>61</v>
      </c>
      <c r="X263">
        <v>613.22</v>
      </c>
      <c r="Y263" t="s">
        <v>84</v>
      </c>
      <c r="Z263">
        <v>1</v>
      </c>
      <c r="AA263">
        <v>288</v>
      </c>
    </row>
    <row r="264" spans="23:27" x14ac:dyDescent="0.15">
      <c r="W264" t="s">
        <v>61</v>
      </c>
      <c r="X264">
        <v>604.04999999999995</v>
      </c>
      <c r="Y264" t="s">
        <v>85</v>
      </c>
      <c r="Z264">
        <v>2</v>
      </c>
      <c r="AA264">
        <v>297</v>
      </c>
    </row>
    <row r="265" spans="23:27" x14ac:dyDescent="0.15">
      <c r="W265" t="s">
        <v>61</v>
      </c>
      <c r="X265">
        <v>317.77999999999997</v>
      </c>
      <c r="Y265" t="s">
        <v>86</v>
      </c>
      <c r="Z265">
        <v>1</v>
      </c>
      <c r="AA265">
        <v>162</v>
      </c>
    </row>
    <row r="266" spans="23:27" x14ac:dyDescent="0.15">
      <c r="W266" t="s">
        <v>61</v>
      </c>
      <c r="X266">
        <v>705.83999999999992</v>
      </c>
      <c r="Y266" t="s">
        <v>87</v>
      </c>
      <c r="Z266">
        <v>1</v>
      </c>
      <c r="AA266">
        <v>432</v>
      </c>
    </row>
    <row r="267" spans="23:27" x14ac:dyDescent="0.15">
      <c r="W267" t="s">
        <v>61</v>
      </c>
      <c r="X267">
        <v>1522.37</v>
      </c>
      <c r="Y267" t="s">
        <v>88</v>
      </c>
      <c r="Z267">
        <v>3</v>
      </c>
      <c r="AA267">
        <v>616</v>
      </c>
    </row>
    <row r="268" spans="23:27" x14ac:dyDescent="0.15">
      <c r="W268" t="s">
        <v>61</v>
      </c>
      <c r="X268">
        <v>343.65</v>
      </c>
      <c r="Y268" t="s">
        <v>89</v>
      </c>
      <c r="Z268">
        <v>2</v>
      </c>
      <c r="AA268">
        <v>81</v>
      </c>
    </row>
    <row r="269" spans="23:27" x14ac:dyDescent="0.15">
      <c r="W269" t="s">
        <v>61</v>
      </c>
      <c r="X269">
        <v>687.3</v>
      </c>
      <c r="Y269" t="s">
        <v>90</v>
      </c>
      <c r="Z269">
        <v>2</v>
      </c>
      <c r="AA269">
        <v>288</v>
      </c>
    </row>
    <row r="270" spans="23:27" x14ac:dyDescent="0.15">
      <c r="W270" t="s">
        <v>61</v>
      </c>
      <c r="X270">
        <v>401.8</v>
      </c>
      <c r="Y270" t="s">
        <v>91</v>
      </c>
      <c r="Z270">
        <v>2</v>
      </c>
      <c r="AA270">
        <v>186</v>
      </c>
    </row>
    <row r="271" spans="23:27" x14ac:dyDescent="0.15">
      <c r="W271" t="s">
        <v>61</v>
      </c>
      <c r="X271">
        <v>529.25</v>
      </c>
      <c r="Y271" t="s">
        <v>92</v>
      </c>
      <c r="Z271">
        <v>2</v>
      </c>
      <c r="AA271">
        <v>253</v>
      </c>
    </row>
    <row r="272" spans="23:27" x14ac:dyDescent="0.15">
      <c r="W272" t="s">
        <v>61</v>
      </c>
      <c r="X272">
        <v>1361.23</v>
      </c>
      <c r="Y272" t="s">
        <v>94</v>
      </c>
      <c r="Z272">
        <v>2</v>
      </c>
      <c r="AA272">
        <v>941</v>
      </c>
    </row>
    <row r="273" spans="23:27" x14ac:dyDescent="0.15">
      <c r="W273" t="s">
        <v>62</v>
      </c>
      <c r="X273">
        <v>2439.9699999999998</v>
      </c>
      <c r="Y273" t="s">
        <v>83</v>
      </c>
      <c r="Z273">
        <v>6</v>
      </c>
      <c r="AA273">
        <v>984</v>
      </c>
    </row>
    <row r="274" spans="23:27" x14ac:dyDescent="0.15">
      <c r="W274" t="s">
        <v>62</v>
      </c>
      <c r="X274">
        <v>4055.71</v>
      </c>
      <c r="Y274" t="s">
        <v>84</v>
      </c>
      <c r="Z274">
        <v>4</v>
      </c>
      <c r="AA274">
        <v>2094</v>
      </c>
    </row>
    <row r="275" spans="23:27" x14ac:dyDescent="0.15">
      <c r="W275" t="s">
        <v>62</v>
      </c>
      <c r="X275">
        <v>1213.9000000000001</v>
      </c>
      <c r="Y275" t="s">
        <v>85</v>
      </c>
      <c r="Z275">
        <v>2</v>
      </c>
      <c r="AA275">
        <v>558</v>
      </c>
    </row>
    <row r="276" spans="23:27" x14ac:dyDescent="0.15">
      <c r="W276" t="s">
        <v>62</v>
      </c>
      <c r="X276">
        <v>2660.85</v>
      </c>
      <c r="Y276" t="s">
        <v>86</v>
      </c>
      <c r="Z276">
        <v>5</v>
      </c>
      <c r="AA276">
        <v>1626</v>
      </c>
    </row>
    <row r="277" spans="23:27" x14ac:dyDescent="0.15">
      <c r="W277" t="s">
        <v>62</v>
      </c>
      <c r="X277">
        <v>1687.75</v>
      </c>
      <c r="Y277" t="s">
        <v>87</v>
      </c>
      <c r="Z277">
        <v>2</v>
      </c>
      <c r="AA277">
        <v>951</v>
      </c>
    </row>
    <row r="278" spans="23:27" x14ac:dyDescent="0.15">
      <c r="W278" t="s">
        <v>62</v>
      </c>
      <c r="X278">
        <v>4202.2299999999996</v>
      </c>
      <c r="Y278" t="s">
        <v>88</v>
      </c>
      <c r="Z278">
        <v>5</v>
      </c>
      <c r="AA278">
        <v>315</v>
      </c>
    </row>
    <row r="279" spans="23:27" x14ac:dyDescent="0.15">
      <c r="W279" t="s">
        <v>62</v>
      </c>
      <c r="X279">
        <v>884.46</v>
      </c>
      <c r="Y279" t="s">
        <v>89</v>
      </c>
      <c r="Z279">
        <v>3</v>
      </c>
      <c r="AA279">
        <v>421</v>
      </c>
    </row>
    <row r="280" spans="23:27" x14ac:dyDescent="0.15">
      <c r="W280" t="s">
        <v>62</v>
      </c>
      <c r="X280">
        <v>2287.85</v>
      </c>
      <c r="Y280" t="s">
        <v>90</v>
      </c>
      <c r="Z280">
        <v>3</v>
      </c>
      <c r="AA280">
        <v>1436</v>
      </c>
    </row>
    <row r="281" spans="23:27" x14ac:dyDescent="0.15">
      <c r="W281" t="s">
        <v>62</v>
      </c>
      <c r="X281">
        <v>1221.4000000000001</v>
      </c>
      <c r="Y281" t="s">
        <v>91</v>
      </c>
      <c r="Z281">
        <v>1</v>
      </c>
      <c r="AA281">
        <v>1026</v>
      </c>
    </row>
    <row r="282" spans="23:27" x14ac:dyDescent="0.15">
      <c r="W282" t="s">
        <v>62</v>
      </c>
      <c r="X282">
        <v>1433.22</v>
      </c>
      <c r="Y282" t="s">
        <v>92</v>
      </c>
      <c r="Z282">
        <v>3</v>
      </c>
      <c r="AA282">
        <v>899</v>
      </c>
    </row>
    <row r="283" spans="23:27" x14ac:dyDescent="0.15">
      <c r="W283" t="s">
        <v>62</v>
      </c>
      <c r="X283">
        <v>6206.67</v>
      </c>
      <c r="Y283" t="s">
        <v>93</v>
      </c>
      <c r="Z283">
        <v>10</v>
      </c>
      <c r="AA283">
        <v>3286</v>
      </c>
    </row>
    <row r="284" spans="23:27" x14ac:dyDescent="0.15">
      <c r="W284" t="s">
        <v>62</v>
      </c>
      <c r="X284">
        <v>2644.9</v>
      </c>
      <c r="Y284" t="s">
        <v>94</v>
      </c>
      <c r="Z284">
        <v>10</v>
      </c>
      <c r="AA284">
        <v>1093</v>
      </c>
    </row>
    <row r="285" spans="23:27" x14ac:dyDescent="0.15">
      <c r="W285" t="s">
        <v>62</v>
      </c>
      <c r="X285">
        <v>2808.19</v>
      </c>
      <c r="Y285" t="s">
        <v>95</v>
      </c>
      <c r="Z285">
        <v>4</v>
      </c>
      <c r="AA285">
        <v>1569</v>
      </c>
    </row>
    <row r="286" spans="23:27" x14ac:dyDescent="0.15">
      <c r="W286" t="s">
        <v>63</v>
      </c>
      <c r="X286">
        <v>1002.31</v>
      </c>
      <c r="Y286" t="s">
        <v>93</v>
      </c>
      <c r="Z286">
        <v>1</v>
      </c>
      <c r="AA286">
        <v>351</v>
      </c>
    </row>
    <row r="287" spans="23:27" x14ac:dyDescent="0.15">
      <c r="W287" t="s">
        <v>64</v>
      </c>
      <c r="X287">
        <v>145.91999999999999</v>
      </c>
      <c r="Y287" t="s">
        <v>85</v>
      </c>
      <c r="Z287">
        <v>1</v>
      </c>
      <c r="AA287">
        <v>80</v>
      </c>
    </row>
    <row r="288" spans="23:27" x14ac:dyDescent="0.15">
      <c r="W288" t="s">
        <v>65</v>
      </c>
      <c r="X288">
        <v>2053.0700000000002</v>
      </c>
      <c r="Y288" t="s">
        <v>84</v>
      </c>
      <c r="Z288">
        <v>1</v>
      </c>
      <c r="AA288">
        <v>1091</v>
      </c>
    </row>
    <row r="289" spans="23:27" x14ac:dyDescent="0.15">
      <c r="W289" t="s">
        <v>65</v>
      </c>
      <c r="X289">
        <v>8209.58</v>
      </c>
      <c r="Y289" t="s">
        <v>87</v>
      </c>
      <c r="Z289">
        <v>3</v>
      </c>
      <c r="AA289">
        <v>1389</v>
      </c>
    </row>
    <row r="290" spans="23:27" x14ac:dyDescent="0.15">
      <c r="W290" t="s">
        <v>65</v>
      </c>
      <c r="X290">
        <v>3949.32</v>
      </c>
      <c r="Y290" t="s">
        <v>90</v>
      </c>
      <c r="Z290">
        <v>1</v>
      </c>
      <c r="AA290">
        <v>2160</v>
      </c>
    </row>
    <row r="291" spans="23:27" x14ac:dyDescent="0.15">
      <c r="W291" t="s">
        <v>65</v>
      </c>
      <c r="X291">
        <v>7067.32</v>
      </c>
      <c r="Y291" t="s">
        <v>93</v>
      </c>
      <c r="Z291">
        <v>2</v>
      </c>
      <c r="AA291">
        <v>601</v>
      </c>
    </row>
    <row r="292" spans="23:27" x14ac:dyDescent="0.15">
      <c r="W292" t="s">
        <v>66</v>
      </c>
      <c r="X292">
        <v>1843.73</v>
      </c>
      <c r="Y292" t="s">
        <v>83</v>
      </c>
      <c r="Z292">
        <v>4</v>
      </c>
      <c r="AA292">
        <v>867</v>
      </c>
    </row>
    <row r="293" spans="23:27" x14ac:dyDescent="0.15">
      <c r="W293" t="s">
        <v>66</v>
      </c>
      <c r="X293">
        <v>10086.09</v>
      </c>
      <c r="Y293" t="s">
        <v>84</v>
      </c>
      <c r="Z293">
        <v>8</v>
      </c>
      <c r="AA293">
        <v>3845</v>
      </c>
    </row>
    <row r="294" spans="23:27" x14ac:dyDescent="0.15">
      <c r="W294" t="s">
        <v>66</v>
      </c>
      <c r="X294">
        <v>2114.5</v>
      </c>
      <c r="Y294" t="s">
        <v>85</v>
      </c>
      <c r="Z294">
        <v>4</v>
      </c>
      <c r="AA294">
        <v>870</v>
      </c>
    </row>
    <row r="295" spans="23:27" x14ac:dyDescent="0.15">
      <c r="W295" t="s">
        <v>66</v>
      </c>
      <c r="X295">
        <v>5363.15</v>
      </c>
      <c r="Y295" t="s">
        <v>86</v>
      </c>
      <c r="Z295">
        <v>8</v>
      </c>
      <c r="AA295">
        <v>2545</v>
      </c>
    </row>
    <row r="296" spans="23:27" x14ac:dyDescent="0.15">
      <c r="W296" t="s">
        <v>66</v>
      </c>
      <c r="X296">
        <v>1785.65</v>
      </c>
      <c r="Y296" t="s">
        <v>87</v>
      </c>
      <c r="Z296">
        <v>3</v>
      </c>
      <c r="AA296">
        <v>953</v>
      </c>
    </row>
    <row r="297" spans="23:27" x14ac:dyDescent="0.15">
      <c r="W297" t="s">
        <v>66</v>
      </c>
      <c r="X297">
        <v>3257.6</v>
      </c>
      <c r="Y297" t="s">
        <v>88</v>
      </c>
      <c r="Z297">
        <v>4</v>
      </c>
      <c r="AA297">
        <v>1468</v>
      </c>
    </row>
    <row r="298" spans="23:27" x14ac:dyDescent="0.15">
      <c r="W298" t="s">
        <v>66</v>
      </c>
      <c r="X298">
        <v>3333.21</v>
      </c>
      <c r="Y298" t="s">
        <v>89</v>
      </c>
      <c r="Z298">
        <v>8</v>
      </c>
      <c r="AA298">
        <v>1538</v>
      </c>
    </row>
    <row r="299" spans="23:27" x14ac:dyDescent="0.15">
      <c r="W299" t="s">
        <v>66</v>
      </c>
      <c r="X299">
        <v>7624.92</v>
      </c>
      <c r="Y299" t="s">
        <v>90</v>
      </c>
      <c r="Z299">
        <v>9</v>
      </c>
      <c r="AA299">
        <v>3438</v>
      </c>
    </row>
    <row r="300" spans="23:27" x14ac:dyDescent="0.15">
      <c r="W300" t="s">
        <v>66</v>
      </c>
      <c r="X300">
        <v>3346.91</v>
      </c>
      <c r="Y300" t="s">
        <v>91</v>
      </c>
      <c r="Z300">
        <v>10</v>
      </c>
      <c r="AA300">
        <v>1600</v>
      </c>
    </row>
    <row r="301" spans="23:27" x14ac:dyDescent="0.15">
      <c r="W301" t="s">
        <v>66</v>
      </c>
      <c r="X301">
        <v>5189.24</v>
      </c>
      <c r="Y301" t="s">
        <v>92</v>
      </c>
      <c r="Z301">
        <v>8</v>
      </c>
      <c r="AA301">
        <v>2683</v>
      </c>
    </row>
    <row r="302" spans="23:27" x14ac:dyDescent="0.15">
      <c r="W302" t="s">
        <v>66</v>
      </c>
      <c r="X302">
        <v>8636.94</v>
      </c>
      <c r="Y302" t="s">
        <v>93</v>
      </c>
      <c r="Z302">
        <v>8</v>
      </c>
      <c r="AA302">
        <v>4352</v>
      </c>
    </row>
    <row r="303" spans="23:27" x14ac:dyDescent="0.15">
      <c r="W303" t="s">
        <v>66</v>
      </c>
      <c r="X303">
        <v>8678.9599999999991</v>
      </c>
      <c r="Y303" t="s">
        <v>94</v>
      </c>
      <c r="Z303">
        <v>14</v>
      </c>
      <c r="AA303">
        <v>3507</v>
      </c>
    </row>
    <row r="304" spans="23:27" x14ac:dyDescent="0.15">
      <c r="W304" t="s">
        <v>66</v>
      </c>
      <c r="X304">
        <v>316.20999999999998</v>
      </c>
      <c r="Y304" t="s">
        <v>95</v>
      </c>
      <c r="Z304">
        <v>2</v>
      </c>
      <c r="AA304">
        <v>274</v>
      </c>
    </row>
    <row r="305" spans="23:27" x14ac:dyDescent="0.15">
      <c r="W305" t="s">
        <v>67</v>
      </c>
      <c r="X305">
        <v>3834.3</v>
      </c>
      <c r="Y305" t="s">
        <v>83</v>
      </c>
      <c r="Z305">
        <v>2</v>
      </c>
      <c r="AA305">
        <v>3954</v>
      </c>
    </row>
    <row r="306" spans="23:27" x14ac:dyDescent="0.15">
      <c r="W306" t="s">
        <v>67</v>
      </c>
      <c r="X306">
        <v>3486.32</v>
      </c>
      <c r="Y306" t="s">
        <v>84</v>
      </c>
      <c r="Z306">
        <v>2</v>
      </c>
      <c r="AA306">
        <v>3097</v>
      </c>
    </row>
    <row r="307" spans="23:27" x14ac:dyDescent="0.15">
      <c r="W307" t="s">
        <v>67</v>
      </c>
      <c r="X307">
        <v>509.5</v>
      </c>
      <c r="Y307" t="s">
        <v>85</v>
      </c>
      <c r="Z307">
        <v>1</v>
      </c>
      <c r="AA307">
        <v>250</v>
      </c>
    </row>
    <row r="308" spans="23:27" x14ac:dyDescent="0.15">
      <c r="W308" t="s">
        <v>67</v>
      </c>
      <c r="X308">
        <v>4720.58</v>
      </c>
      <c r="Y308" t="s">
        <v>86</v>
      </c>
      <c r="Z308">
        <v>3</v>
      </c>
      <c r="AA308">
        <v>5407</v>
      </c>
    </row>
    <row r="309" spans="23:27" x14ac:dyDescent="0.15">
      <c r="W309" t="s">
        <v>67</v>
      </c>
      <c r="X309">
        <v>809.1</v>
      </c>
      <c r="Y309" t="s">
        <v>87</v>
      </c>
      <c r="Z309">
        <v>2</v>
      </c>
      <c r="AA309">
        <v>310</v>
      </c>
    </row>
    <row r="310" spans="23:27" x14ac:dyDescent="0.15">
      <c r="W310" t="s">
        <v>67</v>
      </c>
      <c r="X310">
        <v>2681.98</v>
      </c>
      <c r="Y310" t="s">
        <v>88</v>
      </c>
      <c r="Z310">
        <v>3</v>
      </c>
      <c r="AA310">
        <v>2833</v>
      </c>
    </row>
    <row r="311" spans="23:27" x14ac:dyDescent="0.15">
      <c r="W311" t="s">
        <v>67</v>
      </c>
      <c r="X311">
        <v>832</v>
      </c>
      <c r="Y311" t="s">
        <v>89</v>
      </c>
      <c r="Z311">
        <v>3</v>
      </c>
      <c r="AA311">
        <v>404</v>
      </c>
    </row>
    <row r="312" spans="23:27" x14ac:dyDescent="0.15">
      <c r="W312" t="s">
        <v>67</v>
      </c>
      <c r="X312">
        <v>6802.09</v>
      </c>
      <c r="Y312" t="s">
        <v>90</v>
      </c>
      <c r="Z312">
        <v>3</v>
      </c>
      <c r="AA312">
        <v>6006</v>
      </c>
    </row>
    <row r="313" spans="23:27" x14ac:dyDescent="0.15">
      <c r="W313" t="s">
        <v>67</v>
      </c>
      <c r="X313">
        <v>1400.86</v>
      </c>
      <c r="Y313" t="s">
        <v>91</v>
      </c>
      <c r="Z313">
        <v>5</v>
      </c>
      <c r="AA313">
        <v>1314</v>
      </c>
    </row>
    <row r="314" spans="23:27" x14ac:dyDescent="0.15">
      <c r="W314" t="s">
        <v>67</v>
      </c>
      <c r="X314">
        <v>4575.21</v>
      </c>
      <c r="Y314" t="s">
        <v>92</v>
      </c>
      <c r="Z314">
        <v>3</v>
      </c>
      <c r="AA314">
        <v>4344</v>
      </c>
    </row>
    <row r="315" spans="23:27" x14ac:dyDescent="0.15">
      <c r="W315" t="s">
        <v>67</v>
      </c>
      <c r="X315">
        <v>5766.16</v>
      </c>
      <c r="Y315" t="s">
        <v>93</v>
      </c>
      <c r="Z315">
        <v>3</v>
      </c>
      <c r="AA315">
        <v>6151</v>
      </c>
    </row>
    <row r="316" spans="23:27" x14ac:dyDescent="0.15">
      <c r="W316" t="s">
        <v>67</v>
      </c>
      <c r="X316">
        <v>2722.23</v>
      </c>
      <c r="Y316" t="s">
        <v>94</v>
      </c>
      <c r="Z316">
        <v>5</v>
      </c>
      <c r="AA316">
        <v>1973</v>
      </c>
    </row>
    <row r="317" spans="23:27" x14ac:dyDescent="0.15">
      <c r="W317" t="s">
        <v>67</v>
      </c>
      <c r="X317">
        <v>238</v>
      </c>
      <c r="Y317" t="s">
        <v>95</v>
      </c>
      <c r="Z317">
        <v>1</v>
      </c>
      <c r="AA317">
        <v>40</v>
      </c>
    </row>
    <row r="318" spans="23:27" x14ac:dyDescent="0.15">
      <c r="W318" t="s">
        <v>68</v>
      </c>
      <c r="X318">
        <v>1304.92</v>
      </c>
      <c r="Y318" t="s">
        <v>83</v>
      </c>
      <c r="Z318">
        <v>2</v>
      </c>
      <c r="AA318">
        <v>714</v>
      </c>
    </row>
    <row r="319" spans="23:27" x14ac:dyDescent="0.15">
      <c r="W319" t="s">
        <v>68</v>
      </c>
      <c r="X319">
        <v>4231.2299999999996</v>
      </c>
      <c r="Y319" t="s">
        <v>84</v>
      </c>
      <c r="Z319">
        <v>3</v>
      </c>
      <c r="AA319">
        <v>2993</v>
      </c>
    </row>
    <row r="320" spans="23:27" x14ac:dyDescent="0.15">
      <c r="W320" t="s">
        <v>68</v>
      </c>
      <c r="X320">
        <v>2654.92</v>
      </c>
      <c r="Y320" t="s">
        <v>85</v>
      </c>
      <c r="Z320">
        <v>5</v>
      </c>
      <c r="AA320">
        <v>1107</v>
      </c>
    </row>
    <row r="321" spans="23:27" x14ac:dyDescent="0.15">
      <c r="W321" t="s">
        <v>68</v>
      </c>
      <c r="X321">
        <v>1870.23</v>
      </c>
      <c r="Y321" t="s">
        <v>86</v>
      </c>
      <c r="Z321">
        <v>3</v>
      </c>
      <c r="AA321">
        <v>986</v>
      </c>
    </row>
    <row r="322" spans="23:27" x14ac:dyDescent="0.15">
      <c r="W322" t="s">
        <v>68</v>
      </c>
      <c r="X322">
        <v>2076.94</v>
      </c>
      <c r="Y322" t="s">
        <v>87</v>
      </c>
      <c r="Z322">
        <v>4</v>
      </c>
      <c r="AA322">
        <v>886</v>
      </c>
    </row>
    <row r="323" spans="23:27" x14ac:dyDescent="0.15">
      <c r="W323" t="s">
        <v>68</v>
      </c>
      <c r="X323">
        <v>3610.01</v>
      </c>
      <c r="Y323" t="s">
        <v>88</v>
      </c>
      <c r="Z323">
        <v>3</v>
      </c>
      <c r="AA323">
        <v>2249</v>
      </c>
    </row>
    <row r="324" spans="23:27" x14ac:dyDescent="0.15">
      <c r="W324" t="s">
        <v>68</v>
      </c>
      <c r="X324">
        <v>7904.15</v>
      </c>
      <c r="Y324" t="s">
        <v>89</v>
      </c>
      <c r="Z324">
        <v>4</v>
      </c>
      <c r="AA324">
        <v>3970</v>
      </c>
    </row>
    <row r="325" spans="23:27" x14ac:dyDescent="0.15">
      <c r="W325" t="s">
        <v>68</v>
      </c>
      <c r="X325">
        <v>3998.61</v>
      </c>
      <c r="Y325" t="s">
        <v>90</v>
      </c>
      <c r="Z325">
        <v>6</v>
      </c>
      <c r="AA325">
        <v>1828</v>
      </c>
    </row>
    <row r="326" spans="23:27" x14ac:dyDescent="0.15">
      <c r="W326" t="s">
        <v>68</v>
      </c>
      <c r="X326">
        <v>4969.8900000000003</v>
      </c>
      <c r="Y326" t="s">
        <v>91</v>
      </c>
      <c r="Z326">
        <v>3</v>
      </c>
      <c r="AA326">
        <v>2998</v>
      </c>
    </row>
    <row r="327" spans="23:27" x14ac:dyDescent="0.15">
      <c r="W327" t="s">
        <v>68</v>
      </c>
      <c r="X327">
        <v>8284.86</v>
      </c>
      <c r="Y327" t="s">
        <v>92</v>
      </c>
      <c r="Z327">
        <v>7</v>
      </c>
      <c r="AA327">
        <v>4255</v>
      </c>
    </row>
    <row r="328" spans="23:27" x14ac:dyDescent="0.15">
      <c r="W328" t="s">
        <v>68</v>
      </c>
      <c r="X328">
        <v>8065.18</v>
      </c>
      <c r="Y328" t="s">
        <v>93</v>
      </c>
      <c r="Z328">
        <v>8</v>
      </c>
      <c r="AA328">
        <v>4866</v>
      </c>
    </row>
    <row r="329" spans="23:27" x14ac:dyDescent="0.15">
      <c r="W329" t="s">
        <v>68</v>
      </c>
      <c r="X329">
        <v>8118.96</v>
      </c>
      <c r="Y329" t="s">
        <v>94</v>
      </c>
      <c r="Z329">
        <v>6</v>
      </c>
      <c r="AA329">
        <v>3777</v>
      </c>
    </row>
    <row r="330" spans="23:27" x14ac:dyDescent="0.15">
      <c r="W330" t="s">
        <v>69</v>
      </c>
      <c r="X330">
        <v>383.95</v>
      </c>
      <c r="Y330" t="s">
        <v>87</v>
      </c>
      <c r="Z330">
        <v>1</v>
      </c>
      <c r="AA330">
        <v>137</v>
      </c>
    </row>
    <row r="331" spans="23:27" x14ac:dyDescent="0.15">
      <c r="W331" t="s">
        <v>69</v>
      </c>
      <c r="X331">
        <v>2311.1999999999998</v>
      </c>
      <c r="Y331" t="s">
        <v>93</v>
      </c>
      <c r="Z331">
        <v>2</v>
      </c>
      <c r="AA331">
        <v>1717</v>
      </c>
    </row>
    <row r="332" spans="23:27" x14ac:dyDescent="0.15">
      <c r="W332" t="s">
        <v>69</v>
      </c>
      <c r="X332">
        <v>885.24</v>
      </c>
      <c r="Y332" t="s">
        <v>95</v>
      </c>
      <c r="Z332">
        <v>2</v>
      </c>
      <c r="AA332">
        <v>604</v>
      </c>
    </row>
    <row r="333" spans="23:27" x14ac:dyDescent="0.15">
      <c r="W333" t="s">
        <v>70</v>
      </c>
      <c r="X333">
        <v>889.24</v>
      </c>
      <c r="Y333" t="s">
        <v>85</v>
      </c>
      <c r="Z333">
        <v>1</v>
      </c>
      <c r="AA333">
        <v>496</v>
      </c>
    </row>
    <row r="334" spans="23:27" x14ac:dyDescent="0.15">
      <c r="W334" t="s">
        <v>70</v>
      </c>
      <c r="X334">
        <v>1013.04</v>
      </c>
      <c r="Y334" t="s">
        <v>92</v>
      </c>
      <c r="Z334">
        <v>2</v>
      </c>
      <c r="AA334">
        <v>486</v>
      </c>
    </row>
    <row r="335" spans="23:27" x14ac:dyDescent="0.15">
      <c r="W335" t="s">
        <v>71</v>
      </c>
      <c r="X335">
        <v>748268.98</v>
      </c>
      <c r="Y335" t="s">
        <v>83</v>
      </c>
      <c r="Z335">
        <v>1447</v>
      </c>
      <c r="AA335">
        <v>314160</v>
      </c>
    </row>
    <row r="336" spans="23:27" x14ac:dyDescent="0.15">
      <c r="W336" t="s">
        <v>71</v>
      </c>
      <c r="X336">
        <v>561289.98</v>
      </c>
      <c r="Y336" t="s">
        <v>84</v>
      </c>
      <c r="Z336">
        <v>971</v>
      </c>
      <c r="AA336">
        <v>315717</v>
      </c>
    </row>
    <row r="337" spans="23:27" x14ac:dyDescent="0.15">
      <c r="W337" t="s">
        <v>71</v>
      </c>
      <c r="X337">
        <v>430027.95</v>
      </c>
      <c r="Y337" t="s">
        <v>85</v>
      </c>
      <c r="Z337">
        <v>995</v>
      </c>
      <c r="AA337">
        <v>230269</v>
      </c>
    </row>
    <row r="338" spans="23:27" x14ac:dyDescent="0.15">
      <c r="W338" t="s">
        <v>71</v>
      </c>
      <c r="X338">
        <v>586230.28</v>
      </c>
      <c r="Y338" t="s">
        <v>86</v>
      </c>
      <c r="Z338">
        <v>1308</v>
      </c>
      <c r="AA338">
        <v>304992</v>
      </c>
    </row>
    <row r="339" spans="23:27" x14ac:dyDescent="0.15">
      <c r="W339" t="s">
        <v>71</v>
      </c>
      <c r="X339">
        <v>476517.761</v>
      </c>
      <c r="Y339" t="s">
        <v>87</v>
      </c>
      <c r="Z339">
        <v>1153</v>
      </c>
      <c r="AA339">
        <v>276279</v>
      </c>
    </row>
    <row r="340" spans="23:27" x14ac:dyDescent="0.15">
      <c r="W340" t="s">
        <v>71</v>
      </c>
      <c r="X340">
        <v>639314.36</v>
      </c>
      <c r="Y340" t="s">
        <v>88</v>
      </c>
      <c r="Z340">
        <v>1523</v>
      </c>
      <c r="AA340">
        <v>321773</v>
      </c>
    </row>
    <row r="341" spans="23:27" x14ac:dyDescent="0.15">
      <c r="W341" t="s">
        <v>71</v>
      </c>
      <c r="X341">
        <v>619510.67000000004</v>
      </c>
      <c r="Y341" t="s">
        <v>89</v>
      </c>
      <c r="Z341">
        <v>1383</v>
      </c>
      <c r="AA341">
        <v>305101</v>
      </c>
    </row>
    <row r="342" spans="23:27" x14ac:dyDescent="0.15">
      <c r="W342" t="s">
        <v>71</v>
      </c>
      <c r="X342">
        <v>601994.84100000001</v>
      </c>
      <c r="Y342" t="s">
        <v>90</v>
      </c>
      <c r="Z342">
        <v>1337</v>
      </c>
      <c r="AA342">
        <v>334410</v>
      </c>
    </row>
    <row r="343" spans="23:27" x14ac:dyDescent="0.15">
      <c r="W343" t="s">
        <v>71</v>
      </c>
      <c r="X343">
        <v>608047.48</v>
      </c>
      <c r="Y343" t="s">
        <v>91</v>
      </c>
      <c r="Z343">
        <v>1210</v>
      </c>
      <c r="AA343">
        <v>332758</v>
      </c>
    </row>
    <row r="344" spans="23:27" x14ac:dyDescent="0.15">
      <c r="W344" t="s">
        <v>71</v>
      </c>
      <c r="X344">
        <v>897076.47199999995</v>
      </c>
      <c r="Y344" t="s">
        <v>92</v>
      </c>
      <c r="Z344">
        <v>1645</v>
      </c>
      <c r="AA344">
        <v>479040</v>
      </c>
    </row>
    <row r="345" spans="23:27" x14ac:dyDescent="0.15">
      <c r="W345" t="s">
        <v>71</v>
      </c>
      <c r="X345">
        <v>938975.01</v>
      </c>
      <c r="Y345" t="s">
        <v>93</v>
      </c>
      <c r="Z345">
        <v>1811</v>
      </c>
      <c r="AA345">
        <v>505633</v>
      </c>
    </row>
    <row r="346" spans="23:27" x14ac:dyDescent="0.15">
      <c r="W346" t="s">
        <v>71</v>
      </c>
      <c r="X346">
        <v>1325346.21</v>
      </c>
      <c r="Y346" t="s">
        <v>94</v>
      </c>
      <c r="Z346">
        <v>2490</v>
      </c>
      <c r="AA346">
        <v>654992</v>
      </c>
    </row>
    <row r="347" spans="23:27" x14ac:dyDescent="0.15">
      <c r="W347" t="s">
        <v>71</v>
      </c>
      <c r="X347">
        <v>592622.09</v>
      </c>
      <c r="Y347" t="s">
        <v>95</v>
      </c>
      <c r="Z347">
        <v>746</v>
      </c>
      <c r="AA347">
        <v>287266</v>
      </c>
    </row>
    <row r="348" spans="23:27" x14ac:dyDescent="0.15">
      <c r="W348" t="s">
        <v>72</v>
      </c>
      <c r="X348">
        <v>299.10000000000002</v>
      </c>
      <c r="Y348" t="s">
        <v>87</v>
      </c>
      <c r="Z348">
        <v>1</v>
      </c>
      <c r="AA348">
        <v>282</v>
      </c>
    </row>
    <row r="349" spans="23:27" x14ac:dyDescent="0.15">
      <c r="W349" t="s">
        <v>72</v>
      </c>
      <c r="X349">
        <v>1055.8699999999999</v>
      </c>
      <c r="Y349" t="s">
        <v>88</v>
      </c>
      <c r="Z349">
        <v>2</v>
      </c>
      <c r="AA349">
        <v>803</v>
      </c>
    </row>
    <row r="350" spans="23:27" x14ac:dyDescent="0.15">
      <c r="W350" t="s">
        <v>72</v>
      </c>
      <c r="X350">
        <v>185.78</v>
      </c>
      <c r="Y350" t="s">
        <v>89</v>
      </c>
      <c r="Z350">
        <v>1</v>
      </c>
      <c r="AA350">
        <v>78</v>
      </c>
    </row>
    <row r="351" spans="23:27" x14ac:dyDescent="0.15">
      <c r="W351" t="s">
        <v>72</v>
      </c>
      <c r="X351">
        <v>1425.41</v>
      </c>
      <c r="Y351" t="s">
        <v>90</v>
      </c>
      <c r="Z351">
        <v>4</v>
      </c>
      <c r="AA351">
        <v>1053</v>
      </c>
    </row>
    <row r="352" spans="23:27" x14ac:dyDescent="0.15">
      <c r="W352" t="s">
        <v>72</v>
      </c>
      <c r="X352">
        <v>531.03</v>
      </c>
      <c r="Y352" t="s">
        <v>91</v>
      </c>
      <c r="Z352">
        <v>2</v>
      </c>
      <c r="AA352">
        <v>185</v>
      </c>
    </row>
    <row r="353" spans="23:27" x14ac:dyDescent="0.15">
      <c r="W353" t="s">
        <v>72</v>
      </c>
      <c r="X353">
        <v>286.85000000000002</v>
      </c>
      <c r="Y353" t="s">
        <v>92</v>
      </c>
      <c r="Z353">
        <v>1</v>
      </c>
      <c r="AA353">
        <v>258</v>
      </c>
    </row>
    <row r="354" spans="23:27" x14ac:dyDescent="0.15">
      <c r="W354" t="s">
        <v>72</v>
      </c>
      <c r="X354">
        <v>965.75</v>
      </c>
      <c r="Y354" t="s">
        <v>94</v>
      </c>
      <c r="Z354">
        <v>2</v>
      </c>
      <c r="AA354">
        <v>641</v>
      </c>
    </row>
  </sheetData>
  <mergeCells count="29">
    <mergeCell ref="B1:B2"/>
    <mergeCell ref="L4:M4"/>
    <mergeCell ref="N4:O4"/>
    <mergeCell ref="L7:M7"/>
    <mergeCell ref="E12:O12"/>
    <mergeCell ref="N7:O7"/>
    <mergeCell ref="F7:G7"/>
    <mergeCell ref="D4:E4"/>
    <mergeCell ref="H4:I4"/>
    <mergeCell ref="D3:O3"/>
    <mergeCell ref="E11:O11"/>
    <mergeCell ref="J4:K4"/>
    <mergeCell ref="D1:O2"/>
    <mergeCell ref="L5:M6"/>
    <mergeCell ref="F4:G4"/>
    <mergeCell ref="D43:O43"/>
    <mergeCell ref="D27:O27"/>
    <mergeCell ref="D5:E6"/>
    <mergeCell ref="E10:O10"/>
    <mergeCell ref="F5:G6"/>
    <mergeCell ref="D7:E7"/>
    <mergeCell ref="D9:O9"/>
    <mergeCell ref="H5:I6"/>
    <mergeCell ref="J5:K6"/>
    <mergeCell ref="H7:I7"/>
    <mergeCell ref="J7:K7"/>
    <mergeCell ref="E13:O13"/>
    <mergeCell ref="D15:O15"/>
    <mergeCell ref="N5:O6"/>
  </mergeCells>
  <dataValidations count="1">
    <dataValidation type="list" errorTitle="Invalid country" error="Select a country from the list." promptTitle="Sales filter" prompt="Choose All Countries or a country" sqref="D3" xr:uid="{00000000-0002-0000-0100-000000000000}">
      <formula1>$V$2:$V$40</formula1>
    </dataValidation>
  </dataValidations>
  <hyperlinks>
    <hyperlink ref="B3" location="'Dashboard'!A1" display="1 · Dashboard" xr:uid="{00000000-0004-0000-0100-000000000000}"/>
    <hyperlink ref="B4" location="'Sales Analysis'!A1" display="2 · Sales Analysis" xr:uid="{00000000-0004-0000-0100-000001000000}"/>
    <hyperlink ref="B5" location="'Monthly Analysis'!A1" display="3 · Monthly Analysis" xr:uid="{00000000-0004-0000-0100-000002000000}"/>
    <hyperlink ref="B6" location="'Country Analysis'!A1" display="4 · Country Analysis" xr:uid="{00000000-0004-0000-0100-000003000000}"/>
    <hyperlink ref="B7" location="'Product Analysis'!A1" display="5 · Product Analysis" xr:uid="{00000000-0004-0000-0100-000004000000}"/>
    <hyperlink ref="B8" location="'Customer Analysis'!A1" display="6 · Customer Analysis" xr:uid="{00000000-0004-0000-0100-000005000000}"/>
    <hyperlink ref="B9" location="'Returns &amp; Cancellations'!A1" display="7 · Returns &amp; Cancellations" xr:uid="{00000000-0004-0000-0100-000006000000}"/>
    <hyperlink ref="B10" location="'Time Analysis'!A1" display="8 · Time Analysis" xr:uid="{00000000-0004-0000-0100-000007000000}"/>
    <hyperlink ref="B11" location="'Data Quality'!A1" display="9 · Data Quality" xr:uid="{00000000-0004-0000-0100-000008000000}"/>
    <hyperlink ref="B12" location="'Data Dictionary'!A1" display="10 · Data Dictionary" xr:uid="{00000000-0004-0000-0100-000009000000}"/>
    <hyperlink ref="B13" location="'Transaction Data'!A1" display="11 · Transaction Data" xr:uid="{00000000-0004-0000-0100-00000A000000}"/>
  </hyperlinks>
  <pageMargins left="0.75" right="0.75" top="1" bottom="1" header="0.5" footer="0.5"/>
  <pageSetup paperSize="8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6EB4"/>
    <pageSetUpPr fitToPage="1"/>
  </sheetPr>
  <dimension ref="B1:O76"/>
  <sheetViews>
    <sheetView showGridLines="0" zoomScaleNormal="100" workbookViewId="0">
      <pane xSplit="3" ySplit="2" topLeftCell="D3" activePane="bottomRight" state="frozen"/>
      <selection pane="topRight"/>
      <selection pane="bottomLeft"/>
      <selection pane="bottomRight" activeCell="B4" sqref="B4"/>
    </sheetView>
  </sheetViews>
  <sheetFormatPr baseColWidth="10" defaultColWidth="8.83203125" defaultRowHeight="13" x14ac:dyDescent="0.15"/>
  <cols>
    <col min="1" max="1" width="1.5" customWidth="1"/>
    <col min="2" max="2" width="26" customWidth="1"/>
    <col min="3" max="3" width="1.5" customWidth="1"/>
    <col min="4" max="15" width="13" customWidth="1"/>
  </cols>
  <sheetData>
    <row r="1" spans="2:15" ht="20" customHeight="1" x14ac:dyDescent="0.15">
      <c r="B1" s="65" t="s">
        <v>0</v>
      </c>
      <c r="D1" s="71" t="s">
        <v>109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2:15" ht="20" customHeight="1" x14ac:dyDescent="0.15">
      <c r="B2" s="56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2:15" ht="20" customHeight="1" x14ac:dyDescent="0.15">
      <c r="B3" s="51" t="s">
        <v>2</v>
      </c>
    </row>
    <row r="4" spans="2:15" ht="20" customHeight="1" x14ac:dyDescent="0.15">
      <c r="B4" s="47" t="s">
        <v>3</v>
      </c>
      <c r="D4" s="67" t="s">
        <v>110</v>
      </c>
      <c r="E4" s="75"/>
      <c r="F4" s="67" t="s">
        <v>111</v>
      </c>
      <c r="G4" s="75"/>
      <c r="H4" s="67" t="s">
        <v>112</v>
      </c>
      <c r="I4" s="75"/>
      <c r="J4" s="67" t="s">
        <v>113</v>
      </c>
      <c r="K4" s="75"/>
      <c r="L4" s="67" t="s">
        <v>24</v>
      </c>
      <c r="M4" s="75"/>
      <c r="N4" s="67" t="s">
        <v>5</v>
      </c>
      <c r="O4" s="75"/>
    </row>
    <row r="5" spans="2:15" ht="20" customHeight="1" x14ac:dyDescent="0.15">
      <c r="B5" s="46" t="s">
        <v>10</v>
      </c>
      <c r="D5" s="57">
        <f>SUM(E52:E64)</f>
        <v>10666684.544</v>
      </c>
      <c r="E5" s="75"/>
      <c r="F5" s="82">
        <f>AVERAGE(E52:E64)</f>
        <v>820514.19569230767</v>
      </c>
      <c r="G5" s="75"/>
      <c r="H5" s="62" t="str">
        <f>INDEX(D52:D64,MATCH(MAX(E52:E64),E52:E64,0))</f>
        <v>2011-11</v>
      </c>
      <c r="I5" s="75"/>
      <c r="J5" s="62" t="str">
        <f>INDEX(D52:D64,MATCH(MIN(E52:E64),E52:E64,0))</f>
        <v>2011-02</v>
      </c>
      <c r="K5" s="75"/>
      <c r="L5" s="73">
        <f>SUM(F52:F64)</f>
        <v>19960</v>
      </c>
      <c r="M5" s="75"/>
      <c r="N5" s="64">
        <f>SUM(E52:E64)/SUM(F52:F64)</f>
        <v>534.40303326653304</v>
      </c>
      <c r="O5" s="75"/>
    </row>
    <row r="6" spans="2:15" ht="20" customHeight="1" x14ac:dyDescent="0.15">
      <c r="B6" s="47" t="s">
        <v>11</v>
      </c>
      <c r="D6" s="76"/>
      <c r="E6" s="75"/>
      <c r="F6" s="76"/>
      <c r="G6" s="75"/>
      <c r="H6" s="76"/>
      <c r="I6" s="75"/>
      <c r="J6" s="76"/>
      <c r="K6" s="75"/>
      <c r="L6" s="76"/>
      <c r="M6" s="75"/>
      <c r="N6" s="76"/>
      <c r="O6" s="75"/>
    </row>
    <row r="7" spans="2:15" ht="20" customHeight="1" x14ac:dyDescent="0.15">
      <c r="B7" s="47" t="s">
        <v>12</v>
      </c>
      <c r="D7" s="60" t="str">
        <f>COUNTA(D52:D64)&amp;" months of data"</f>
        <v>13 months of data</v>
      </c>
      <c r="E7" s="78"/>
      <c r="F7" s="60" t="s">
        <v>114</v>
      </c>
      <c r="G7" s="78"/>
      <c r="H7" s="60" t="str">
        <f>TEXT(MAX(E52:E64),"$#,##0")&amp;" gross sales"</f>
        <v>$1,509,496 gross sales</v>
      </c>
      <c r="I7" s="78"/>
      <c r="J7" s="60" t="str">
        <f>TEXT(MIN(E52:E64),"$#,##0")&amp;" gross sales"</f>
        <v>$523,632 gross sales</v>
      </c>
      <c r="K7" s="78"/>
      <c r="L7" s="60" t="s">
        <v>115</v>
      </c>
      <c r="M7" s="78"/>
      <c r="N7" s="60" t="s">
        <v>14</v>
      </c>
      <c r="O7" s="78"/>
    </row>
    <row r="8" spans="2:15" ht="20" customHeight="1" x14ac:dyDescent="0.15">
      <c r="B8" s="47" t="s">
        <v>17</v>
      </c>
    </row>
    <row r="9" spans="2:15" ht="20" customHeight="1" x14ac:dyDescent="0.15">
      <c r="B9" s="47" t="s">
        <v>18</v>
      </c>
      <c r="D9" s="61" t="s">
        <v>116</v>
      </c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</row>
    <row r="10" spans="2:15" ht="20" customHeight="1" x14ac:dyDescent="0.15">
      <c r="B10" s="47" t="s">
        <v>19</v>
      </c>
      <c r="D10" s="1">
        <v>1</v>
      </c>
      <c r="E10" s="58" t="s">
        <v>117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</row>
    <row r="11" spans="2:15" ht="20" customHeight="1" x14ac:dyDescent="0.15">
      <c r="B11" s="47" t="s">
        <v>20</v>
      </c>
      <c r="D11" s="1">
        <v>2</v>
      </c>
      <c r="E11" s="58" t="s">
        <v>118</v>
      </c>
      <c r="F11" s="83"/>
      <c r="G11" s="83"/>
      <c r="H11" s="83"/>
      <c r="I11" s="83"/>
      <c r="J11" s="83"/>
      <c r="K11" s="83"/>
      <c r="L11" s="83"/>
      <c r="M11" s="83"/>
      <c r="N11" s="83"/>
      <c r="O11" s="83"/>
    </row>
    <row r="12" spans="2:15" ht="20" customHeight="1" x14ac:dyDescent="0.15">
      <c r="B12" s="47" t="s">
        <v>21</v>
      </c>
      <c r="D12" s="1">
        <v>3</v>
      </c>
      <c r="E12" s="58" t="s">
        <v>119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</row>
    <row r="13" spans="2:15" ht="20" customHeight="1" x14ac:dyDescent="0.15">
      <c r="B13" s="48" t="s">
        <v>22</v>
      </c>
      <c r="D13" s="1">
        <v>4</v>
      </c>
      <c r="E13" s="58" t="s">
        <v>120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</row>
    <row r="14" spans="2:15" ht="20" customHeight="1" x14ac:dyDescent="0.15">
      <c r="B14" s="48"/>
    </row>
    <row r="15" spans="2:15" ht="14" x14ac:dyDescent="0.15">
      <c r="B15" s="48"/>
      <c r="D15" s="63" t="s">
        <v>47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</row>
    <row r="16" spans="2:15" ht="20" customHeight="1" x14ac:dyDescent="0.15">
      <c r="B16" s="48"/>
    </row>
    <row r="17" spans="2:2" ht="14" x14ac:dyDescent="0.15">
      <c r="B17" s="48"/>
    </row>
    <row r="18" spans="2:2" ht="14" x14ac:dyDescent="0.15">
      <c r="B18" s="48"/>
    </row>
    <row r="19" spans="2:2" ht="14" x14ac:dyDescent="0.15">
      <c r="B19" s="48"/>
    </row>
    <row r="20" spans="2:2" ht="14" x14ac:dyDescent="0.15">
      <c r="B20" s="48"/>
    </row>
    <row r="21" spans="2:2" ht="14" x14ac:dyDescent="0.15">
      <c r="B21" s="48"/>
    </row>
    <row r="22" spans="2:2" ht="14" x14ac:dyDescent="0.15">
      <c r="B22" s="48"/>
    </row>
    <row r="23" spans="2:2" ht="14" x14ac:dyDescent="0.15">
      <c r="B23" s="48"/>
    </row>
    <row r="24" spans="2:2" ht="14" x14ac:dyDescent="0.15">
      <c r="B24" s="48"/>
    </row>
    <row r="25" spans="2:2" ht="14" x14ac:dyDescent="0.15">
      <c r="B25" s="48"/>
    </row>
    <row r="26" spans="2:2" ht="14" x14ac:dyDescent="0.15">
      <c r="B26" s="48"/>
    </row>
    <row r="27" spans="2:2" ht="14" x14ac:dyDescent="0.15">
      <c r="B27" s="48"/>
    </row>
    <row r="28" spans="2:2" ht="14" x14ac:dyDescent="0.15">
      <c r="B28" s="48"/>
    </row>
    <row r="29" spans="2:2" ht="14" x14ac:dyDescent="0.15">
      <c r="B29" s="48"/>
    </row>
    <row r="30" spans="2:2" ht="14" x14ac:dyDescent="0.15">
      <c r="B30" s="48"/>
    </row>
    <row r="31" spans="2:2" ht="14" x14ac:dyDescent="0.15">
      <c r="B31" s="48"/>
    </row>
    <row r="32" spans="2:2" ht="14" x14ac:dyDescent="0.15">
      <c r="B32" s="48"/>
    </row>
    <row r="33" spans="2:2" ht="14" x14ac:dyDescent="0.15">
      <c r="B33" s="48"/>
    </row>
    <row r="34" spans="2:2" ht="14" x14ac:dyDescent="0.15">
      <c r="B34" s="48"/>
    </row>
    <row r="35" spans="2:2" ht="14" x14ac:dyDescent="0.15">
      <c r="B35" s="48"/>
    </row>
    <row r="36" spans="2:2" ht="14" x14ac:dyDescent="0.15">
      <c r="B36" s="48"/>
    </row>
    <row r="37" spans="2:2" ht="14" x14ac:dyDescent="0.15">
      <c r="B37" s="48"/>
    </row>
    <row r="38" spans="2:2" ht="14" x14ac:dyDescent="0.15">
      <c r="B38" s="48"/>
    </row>
    <row r="39" spans="2:2" ht="14" x14ac:dyDescent="0.15">
      <c r="B39" s="48"/>
    </row>
    <row r="40" spans="2:2" ht="14" x14ac:dyDescent="0.15">
      <c r="B40" s="48"/>
    </row>
    <row r="41" spans="2:2" ht="14" x14ac:dyDescent="0.15">
      <c r="B41" s="48"/>
    </row>
    <row r="42" spans="2:2" ht="14" x14ac:dyDescent="0.15">
      <c r="B42" s="48"/>
    </row>
    <row r="43" spans="2:2" ht="14" x14ac:dyDescent="0.15">
      <c r="B43" s="48"/>
    </row>
    <row r="44" spans="2:2" ht="14" x14ac:dyDescent="0.15">
      <c r="B44" s="48"/>
    </row>
    <row r="45" spans="2:2" ht="14" x14ac:dyDescent="0.15">
      <c r="B45" s="48"/>
    </row>
    <row r="46" spans="2:2" ht="14" x14ac:dyDescent="0.15">
      <c r="B46" s="48"/>
    </row>
    <row r="47" spans="2:2" ht="14" x14ac:dyDescent="0.15">
      <c r="B47" s="48"/>
    </row>
    <row r="48" spans="2:2" ht="14" x14ac:dyDescent="0.15">
      <c r="B48" s="48"/>
    </row>
    <row r="49" spans="2:15" ht="14" x14ac:dyDescent="0.15">
      <c r="B49" s="48"/>
    </row>
    <row r="50" spans="2:15" ht="14" x14ac:dyDescent="0.15">
      <c r="B50" s="48"/>
      <c r="D50" s="63" t="s">
        <v>121</v>
      </c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</row>
    <row r="51" spans="2:15" ht="20" customHeight="1" x14ac:dyDescent="0.15">
      <c r="B51" s="48"/>
      <c r="D51" s="3" t="s">
        <v>74</v>
      </c>
      <c r="E51" s="3" t="s">
        <v>75</v>
      </c>
      <c r="F51" s="3" t="s">
        <v>76</v>
      </c>
      <c r="G51" s="3" t="s">
        <v>122</v>
      </c>
      <c r="H51" s="3" t="s">
        <v>77</v>
      </c>
      <c r="I51" s="3" t="s">
        <v>78</v>
      </c>
      <c r="J51" s="3" t="s">
        <v>123</v>
      </c>
    </row>
    <row r="52" spans="2:15" ht="30" customHeight="1" x14ac:dyDescent="0.15">
      <c r="B52" s="48"/>
      <c r="D52" s="4" t="s">
        <v>83</v>
      </c>
      <c r="E52" s="5">
        <v>823746.14</v>
      </c>
      <c r="F52" s="6">
        <v>1559</v>
      </c>
      <c r="G52" s="6">
        <v>885</v>
      </c>
      <c r="H52" s="6">
        <v>359239</v>
      </c>
      <c r="I52" s="5">
        <v>528.38110327132779</v>
      </c>
      <c r="J52" s="7"/>
    </row>
    <row r="53" spans="2:15" ht="18" customHeight="1" x14ac:dyDescent="0.15">
      <c r="B53" s="48"/>
      <c r="D53" s="8" t="s">
        <v>84</v>
      </c>
      <c r="E53" s="9">
        <v>691364.56</v>
      </c>
      <c r="F53" s="10">
        <v>1086</v>
      </c>
      <c r="G53" s="10">
        <v>741</v>
      </c>
      <c r="H53" s="10">
        <v>387785</v>
      </c>
      <c r="I53" s="9">
        <v>636.61561694290981</v>
      </c>
      <c r="J53" s="11">
        <v>-0.16070676822837671</v>
      </c>
    </row>
    <row r="54" spans="2:15" ht="18" customHeight="1" x14ac:dyDescent="0.15">
      <c r="B54" s="48"/>
      <c r="D54" s="4" t="s">
        <v>85</v>
      </c>
      <c r="E54" s="5">
        <v>523631.89</v>
      </c>
      <c r="F54" s="6">
        <v>1100</v>
      </c>
      <c r="G54" s="6">
        <v>758</v>
      </c>
      <c r="H54" s="6">
        <v>283555</v>
      </c>
      <c r="I54" s="5">
        <v>476.02899090909091</v>
      </c>
      <c r="J54" s="7">
        <v>-0.24261103288256489</v>
      </c>
    </row>
    <row r="55" spans="2:15" ht="18" customHeight="1" x14ac:dyDescent="0.15">
      <c r="B55" s="48"/>
      <c r="D55" s="8" t="s">
        <v>86</v>
      </c>
      <c r="E55" s="9">
        <v>717639.36</v>
      </c>
      <c r="F55" s="10">
        <v>1454</v>
      </c>
      <c r="G55" s="10">
        <v>974</v>
      </c>
      <c r="H55" s="10">
        <v>377526</v>
      </c>
      <c r="I55" s="9">
        <v>493.56214580467667</v>
      </c>
      <c r="J55" s="11">
        <v>0.37050354209710168</v>
      </c>
    </row>
    <row r="56" spans="2:15" ht="18" customHeight="1" x14ac:dyDescent="0.15">
      <c r="B56" s="48"/>
      <c r="D56" s="4" t="s">
        <v>87</v>
      </c>
      <c r="E56" s="5">
        <v>537808.62100000004</v>
      </c>
      <c r="F56" s="6">
        <v>1246</v>
      </c>
      <c r="G56" s="6">
        <v>856</v>
      </c>
      <c r="H56" s="6">
        <v>308815</v>
      </c>
      <c r="I56" s="5">
        <v>431.62810674157299</v>
      </c>
      <c r="J56" s="7">
        <v>-0.25058650489850498</v>
      </c>
    </row>
    <row r="57" spans="2:15" ht="18" customHeight="1" x14ac:dyDescent="0.15">
      <c r="B57" s="48"/>
      <c r="D57" s="8" t="s">
        <v>88</v>
      </c>
      <c r="E57" s="9">
        <v>770536.02</v>
      </c>
      <c r="F57" s="10">
        <v>1681</v>
      </c>
      <c r="G57" s="10">
        <v>1056</v>
      </c>
      <c r="H57" s="10">
        <v>395738</v>
      </c>
      <c r="I57" s="9">
        <v>458.37954788816182</v>
      </c>
      <c r="J57" s="11">
        <v>0.43273274156012448</v>
      </c>
    </row>
    <row r="58" spans="2:15" ht="18" customHeight="1" x14ac:dyDescent="0.15">
      <c r="B58" s="48"/>
      <c r="D58" s="4" t="s">
        <v>89</v>
      </c>
      <c r="E58" s="5">
        <v>761739.9</v>
      </c>
      <c r="F58" s="6">
        <v>1533</v>
      </c>
      <c r="G58" s="6">
        <v>991</v>
      </c>
      <c r="H58" s="6">
        <v>389213</v>
      </c>
      <c r="I58" s="5">
        <v>496.89491193737769</v>
      </c>
      <c r="J58" s="7">
        <v>-1.1415585737315709E-2</v>
      </c>
    </row>
    <row r="59" spans="2:15" ht="18" customHeight="1" x14ac:dyDescent="0.15">
      <c r="B59" s="48"/>
      <c r="D59" s="8" t="s">
        <v>90</v>
      </c>
      <c r="E59" s="9">
        <v>719221.19099999999</v>
      </c>
      <c r="F59" s="10">
        <v>1475</v>
      </c>
      <c r="G59" s="10">
        <v>949</v>
      </c>
      <c r="H59" s="10">
        <v>401759</v>
      </c>
      <c r="I59" s="9">
        <v>487.60758711864412</v>
      </c>
      <c r="J59" s="11">
        <v>-5.5817883505905441E-2</v>
      </c>
    </row>
    <row r="60" spans="2:15" ht="18" customHeight="1" x14ac:dyDescent="0.15">
      <c r="B60" s="48"/>
      <c r="D60" s="4" t="s">
        <v>91</v>
      </c>
      <c r="E60" s="5">
        <v>759138.38</v>
      </c>
      <c r="F60" s="6">
        <v>1361</v>
      </c>
      <c r="G60" s="6">
        <v>935</v>
      </c>
      <c r="H60" s="6">
        <v>421770</v>
      </c>
      <c r="I60" s="5">
        <v>557.77985304922856</v>
      </c>
      <c r="J60" s="7">
        <v>5.5500574092511627E-2</v>
      </c>
    </row>
    <row r="61" spans="2:15" ht="18" customHeight="1" x14ac:dyDescent="0.15">
      <c r="B61" s="48"/>
      <c r="D61" s="8" t="s">
        <v>92</v>
      </c>
      <c r="E61" s="9">
        <v>1058590.172</v>
      </c>
      <c r="F61" s="10">
        <v>1837</v>
      </c>
      <c r="G61" s="10">
        <v>1266</v>
      </c>
      <c r="H61" s="10">
        <v>570820</v>
      </c>
      <c r="I61" s="9">
        <v>576.26030048992925</v>
      </c>
      <c r="J61" s="11">
        <v>0.39446272233001828</v>
      </c>
    </row>
    <row r="62" spans="2:15" ht="18" customHeight="1" x14ac:dyDescent="0.15">
      <c r="B62" s="48"/>
      <c r="D62" s="4" t="s">
        <v>93</v>
      </c>
      <c r="E62" s="5">
        <v>1154979.3</v>
      </c>
      <c r="F62" s="6">
        <v>2040</v>
      </c>
      <c r="G62" s="6">
        <v>1364</v>
      </c>
      <c r="H62" s="6">
        <v>623401</v>
      </c>
      <c r="I62" s="5">
        <v>566.16632352941178</v>
      </c>
      <c r="J62" s="7">
        <v>9.1054244172597443E-2</v>
      </c>
    </row>
    <row r="63" spans="2:15" ht="18" customHeight="1" x14ac:dyDescent="0.15">
      <c r="B63" s="48"/>
      <c r="D63" s="8" t="s">
        <v>94</v>
      </c>
      <c r="E63" s="9">
        <v>1509496.33</v>
      </c>
      <c r="F63" s="10">
        <v>2769</v>
      </c>
      <c r="G63" s="10">
        <v>1664</v>
      </c>
      <c r="H63" s="10">
        <v>754507</v>
      </c>
      <c r="I63" s="9">
        <v>545.14132538822685</v>
      </c>
      <c r="J63" s="11">
        <v>0.30694665263697801</v>
      </c>
    </row>
    <row r="64" spans="2:15" ht="18" customHeight="1" x14ac:dyDescent="0.15">
      <c r="B64" s="48"/>
      <c r="D64" s="4" t="s">
        <v>95</v>
      </c>
      <c r="E64" s="5">
        <v>638792.68000000005</v>
      </c>
      <c r="F64" s="6">
        <v>819</v>
      </c>
      <c r="G64" s="6">
        <v>615</v>
      </c>
      <c r="H64" s="6">
        <v>314248</v>
      </c>
      <c r="I64" s="5">
        <v>779.96664224664232</v>
      </c>
      <c r="J64" s="7">
        <v>-0.57681733482584874</v>
      </c>
    </row>
    <row r="65" spans="2:15" ht="18" customHeight="1" x14ac:dyDescent="0.15">
      <c r="B65" s="48"/>
    </row>
    <row r="66" spans="2:15" ht="14" x14ac:dyDescent="0.15">
      <c r="B66" s="48"/>
    </row>
    <row r="67" spans="2:15" ht="14" x14ac:dyDescent="0.15">
      <c r="B67" s="48"/>
      <c r="D67" s="85" t="s">
        <v>124</v>
      </c>
      <c r="E67" s="56"/>
      <c r="F67" s="56"/>
      <c r="G67" s="56"/>
      <c r="H67" s="56"/>
    </row>
    <row r="68" spans="2:15" ht="20" customHeight="1" x14ac:dyDescent="0.15">
      <c r="B68" s="48"/>
      <c r="D68" s="3" t="s">
        <v>125</v>
      </c>
      <c r="E68" s="3" t="s">
        <v>75</v>
      </c>
      <c r="F68" s="3" t="s">
        <v>76</v>
      </c>
      <c r="G68" s="3" t="s">
        <v>122</v>
      </c>
      <c r="H68" s="3" t="s">
        <v>77</v>
      </c>
    </row>
    <row r="69" spans="2:15" ht="30" customHeight="1" x14ac:dyDescent="0.15">
      <c r="B69" s="48"/>
      <c r="D69" s="4" t="s">
        <v>126</v>
      </c>
      <c r="E69" s="5">
        <v>823746.14</v>
      </c>
      <c r="F69" s="6">
        <v>1559</v>
      </c>
      <c r="G69" s="6">
        <v>885</v>
      </c>
      <c r="H69" s="6">
        <v>359239</v>
      </c>
    </row>
    <row r="70" spans="2:15" ht="18" customHeight="1" x14ac:dyDescent="0.15">
      <c r="B70" s="48"/>
      <c r="D70" s="8" t="s">
        <v>127</v>
      </c>
      <c r="E70" s="9">
        <v>1932635.81</v>
      </c>
      <c r="F70" s="10">
        <v>3640</v>
      </c>
      <c r="G70" s="10">
        <v>1776</v>
      </c>
      <c r="H70" s="10">
        <v>1048866</v>
      </c>
    </row>
    <row r="71" spans="2:15" ht="18" customHeight="1" x14ac:dyDescent="0.15">
      <c r="B71" s="48"/>
      <c r="D71" s="4" t="s">
        <v>128</v>
      </c>
      <c r="E71" s="5">
        <v>2070084.541</v>
      </c>
      <c r="F71" s="6">
        <v>4460</v>
      </c>
      <c r="G71" s="6">
        <v>1991</v>
      </c>
      <c r="H71" s="6">
        <v>1093766</v>
      </c>
    </row>
    <row r="72" spans="2:15" ht="18" customHeight="1" x14ac:dyDescent="0.15">
      <c r="B72" s="48"/>
      <c r="D72" s="8" t="s">
        <v>129</v>
      </c>
      <c r="E72" s="9">
        <v>2536949.7429999998</v>
      </c>
      <c r="F72" s="10">
        <v>4673</v>
      </c>
      <c r="G72" s="10">
        <v>2161</v>
      </c>
      <c r="H72" s="10">
        <v>1394349</v>
      </c>
    </row>
    <row r="73" spans="2:15" ht="18" customHeight="1" x14ac:dyDescent="0.15">
      <c r="B73" s="48"/>
      <c r="D73" s="4" t="s">
        <v>130</v>
      </c>
      <c r="E73" s="5">
        <v>3303268.31</v>
      </c>
      <c r="F73" s="6">
        <v>5628</v>
      </c>
      <c r="G73" s="6">
        <v>2560</v>
      </c>
      <c r="H73" s="6">
        <v>1692156</v>
      </c>
    </row>
    <row r="74" spans="2:15" ht="18" customHeight="1" x14ac:dyDescent="0.15"/>
    <row r="75" spans="2:15" x14ac:dyDescent="0.15">
      <c r="D75" s="84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</row>
    <row r="76" spans="2:15" ht="18" customHeight="1" x14ac:dyDescent="0.15"/>
  </sheetData>
  <mergeCells count="29">
    <mergeCell ref="E11:O11"/>
    <mergeCell ref="J4:K4"/>
    <mergeCell ref="D75:O75"/>
    <mergeCell ref="E13:O13"/>
    <mergeCell ref="D15:O15"/>
    <mergeCell ref="E12:O12"/>
    <mergeCell ref="L7:M7"/>
    <mergeCell ref="N7:O7"/>
    <mergeCell ref="F7:G7"/>
    <mergeCell ref="D50:O50"/>
    <mergeCell ref="E10:O10"/>
    <mergeCell ref="D7:E7"/>
    <mergeCell ref="D67:H67"/>
    <mergeCell ref="D9:O9"/>
    <mergeCell ref="H7:I7"/>
    <mergeCell ref="J7:K7"/>
    <mergeCell ref="D1:O2"/>
    <mergeCell ref="L5:M6"/>
    <mergeCell ref="F4:G4"/>
    <mergeCell ref="N5:O6"/>
    <mergeCell ref="B1:B2"/>
    <mergeCell ref="L4:M4"/>
    <mergeCell ref="N4:O4"/>
    <mergeCell ref="D5:E6"/>
    <mergeCell ref="F5:G6"/>
    <mergeCell ref="H5:I6"/>
    <mergeCell ref="J5:K6"/>
    <mergeCell ref="D4:E4"/>
    <mergeCell ref="H4:I4"/>
  </mergeCells>
  <hyperlinks>
    <hyperlink ref="B3" location="'Dashboard'!A1" display="1 · Dashboard" xr:uid="{00000000-0004-0000-0200-000000000000}"/>
    <hyperlink ref="B4" location="'Sales Analysis'!A1" display="2 · Sales Analysis" xr:uid="{00000000-0004-0000-0200-000001000000}"/>
    <hyperlink ref="B5" location="'Monthly Analysis'!A1" display="3 · Monthly Analysis" xr:uid="{00000000-0004-0000-0200-000002000000}"/>
    <hyperlink ref="B6" location="'Country Analysis'!A1" display="4 · Country Analysis" xr:uid="{00000000-0004-0000-0200-000003000000}"/>
    <hyperlink ref="B7" location="'Product Analysis'!A1" display="5 · Product Analysis" xr:uid="{00000000-0004-0000-0200-000004000000}"/>
    <hyperlink ref="B8" location="'Customer Analysis'!A1" display="6 · Customer Analysis" xr:uid="{00000000-0004-0000-0200-000005000000}"/>
    <hyperlink ref="B9" location="'Returns &amp; Cancellations'!A1" display="7 · Returns &amp; Cancellations" xr:uid="{00000000-0004-0000-0200-000006000000}"/>
    <hyperlink ref="B10" location="'Time Analysis'!A1" display="8 · Time Analysis" xr:uid="{00000000-0004-0000-0200-000007000000}"/>
    <hyperlink ref="B11" location="'Data Quality'!A1" display="9 · Data Quality" xr:uid="{00000000-0004-0000-0200-000008000000}"/>
    <hyperlink ref="B12" location="'Data Dictionary'!A1" display="10 · Data Dictionary" xr:uid="{00000000-0004-0000-0200-000009000000}"/>
    <hyperlink ref="B13" location="'Transaction Data'!A1" display="11 · Transaction Data" xr:uid="{00000000-0004-0000-0200-00000A000000}"/>
  </hyperlinks>
  <pageMargins left="0.75" right="0.75" top="1" bottom="1" header="0.5" footer="0.5"/>
  <pageSetup scale="45"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6EB4"/>
    <pageSetUpPr fitToPage="1"/>
  </sheetPr>
  <dimension ref="B1:N92"/>
  <sheetViews>
    <sheetView showGridLines="0" zoomScaleNormal="100" workbookViewId="0">
      <pane xSplit="3" ySplit="2" topLeftCell="D3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3" x14ac:dyDescent="0.15"/>
  <cols>
    <col min="1" max="1" width="1.5" customWidth="1"/>
    <col min="2" max="2" width="26" customWidth="1"/>
    <col min="3" max="3" width="1.5" customWidth="1"/>
    <col min="4" max="4" width="26" customWidth="1"/>
    <col min="5" max="14" width="13" customWidth="1"/>
  </cols>
  <sheetData>
    <row r="1" spans="2:14" ht="20" customHeight="1" x14ac:dyDescent="0.15">
      <c r="B1" s="65" t="s">
        <v>0</v>
      </c>
      <c r="D1" s="71" t="s">
        <v>131</v>
      </c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2:14" ht="20" customHeight="1" x14ac:dyDescent="0.15">
      <c r="B2" s="56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3" spans="2:14" ht="20" customHeight="1" x14ac:dyDescent="0.15">
      <c r="B3" s="51" t="s">
        <v>2</v>
      </c>
    </row>
    <row r="4" spans="2:14" ht="20" customHeight="1" x14ac:dyDescent="0.15">
      <c r="B4" s="47" t="s">
        <v>3</v>
      </c>
      <c r="D4" s="12" t="s">
        <v>110</v>
      </c>
      <c r="E4" s="67" t="s">
        <v>132</v>
      </c>
      <c r="F4" s="75"/>
      <c r="G4" s="67" t="s">
        <v>133</v>
      </c>
      <c r="H4" s="75"/>
      <c r="I4" s="67" t="s">
        <v>134</v>
      </c>
      <c r="J4" s="75"/>
      <c r="K4" s="67" t="s">
        <v>135</v>
      </c>
      <c r="L4" s="75"/>
      <c r="M4" s="67" t="s">
        <v>5</v>
      </c>
      <c r="N4" s="75"/>
    </row>
    <row r="5" spans="2:14" ht="20" customHeight="1" x14ac:dyDescent="0.15">
      <c r="B5" s="47" t="s">
        <v>10</v>
      </c>
      <c r="D5" s="57">
        <f>SUM(E52:E89)</f>
        <v>10666684.544000002</v>
      </c>
      <c r="E5" s="73">
        <f>COUNTA(D52:D89)</f>
        <v>38</v>
      </c>
      <c r="F5" s="75"/>
      <c r="G5" s="62" t="str">
        <f>INDEX(D52:D89,MATCH(MAX(E52:E89),E52:E89,0))</f>
        <v>United Kingdom</v>
      </c>
      <c r="H5" s="75"/>
      <c r="I5" s="57">
        <f>SUM(E52:E89)-MAX(E52:E89)</f>
        <v>1641462.4600000009</v>
      </c>
      <c r="J5" s="75"/>
      <c r="K5" s="87">
        <f>SUM(E52:E56)/SUM(E52:E89)</f>
        <v>0.94056448305142637</v>
      </c>
      <c r="L5" s="75"/>
      <c r="M5" s="64">
        <f>SUM(E52:E89)/SUM(F52:F89)</f>
        <v>534.40303326653316</v>
      </c>
      <c r="N5" s="75"/>
    </row>
    <row r="6" spans="2:14" ht="20" customHeight="1" x14ac:dyDescent="0.15">
      <c r="B6" s="46" t="s">
        <v>11</v>
      </c>
      <c r="D6" s="86"/>
      <c r="E6" s="76"/>
      <c r="F6" s="75"/>
      <c r="G6" s="76"/>
      <c r="H6" s="75"/>
      <c r="I6" s="76"/>
      <c r="J6" s="75"/>
      <c r="K6" s="76"/>
      <c r="L6" s="75"/>
      <c r="M6" s="76"/>
      <c r="N6" s="75"/>
    </row>
    <row r="7" spans="2:14" ht="20" customHeight="1" x14ac:dyDescent="0.15">
      <c r="B7" s="47" t="s">
        <v>12</v>
      </c>
      <c r="D7" s="13" t="str">
        <f>COUNTA(D52:D89)&amp;" countries"</f>
        <v>38 countries</v>
      </c>
      <c r="E7" s="60" t="s">
        <v>136</v>
      </c>
      <c r="F7" s="78"/>
      <c r="G7" s="60" t="str">
        <f>TEXT(MAX(E52:E89)/SUM(E52:E89),"0.0%")&amp;" of gross sales"</f>
        <v>84.6% of gross sales</v>
      </c>
      <c r="H7" s="78"/>
      <c r="I7" s="60" t="str">
        <f>TEXT(1-MAX(E52:E89)/SUM(E52:E89),"0.0%")&amp;" of gross sales"</f>
        <v>15.4% of gross sales</v>
      </c>
      <c r="J7" s="78"/>
      <c r="K7" s="60" t="s">
        <v>137</v>
      </c>
      <c r="L7" s="78"/>
      <c r="M7" s="60" t="s">
        <v>14</v>
      </c>
      <c r="N7" s="78"/>
    </row>
    <row r="8" spans="2:14" ht="20" customHeight="1" x14ac:dyDescent="0.15">
      <c r="B8" s="47" t="s">
        <v>17</v>
      </c>
    </row>
    <row r="9" spans="2:14" ht="20" customHeight="1" x14ac:dyDescent="0.15">
      <c r="B9" s="47" t="s">
        <v>18</v>
      </c>
      <c r="D9" s="61" t="s">
        <v>116</v>
      </c>
      <c r="E9" s="56"/>
      <c r="F9" s="56"/>
      <c r="G9" s="56"/>
      <c r="H9" s="56"/>
      <c r="I9" s="56"/>
      <c r="J9" s="56"/>
      <c r="K9" s="56"/>
      <c r="L9" s="56"/>
      <c r="M9" s="56"/>
      <c r="N9" s="56"/>
    </row>
    <row r="10" spans="2:14" ht="20" customHeight="1" x14ac:dyDescent="0.15">
      <c r="B10" s="47" t="s">
        <v>19</v>
      </c>
      <c r="D10" s="1">
        <v>1</v>
      </c>
      <c r="E10" s="58" t="s">
        <v>138</v>
      </c>
      <c r="F10" s="83"/>
      <c r="G10" s="83"/>
      <c r="H10" s="83"/>
      <c r="I10" s="83"/>
      <c r="J10" s="83"/>
      <c r="K10" s="83"/>
      <c r="L10" s="83"/>
      <c r="M10" s="83"/>
      <c r="N10" s="83"/>
    </row>
    <row r="11" spans="2:14" ht="20" customHeight="1" x14ac:dyDescent="0.15">
      <c r="B11" s="47" t="s">
        <v>20</v>
      </c>
      <c r="D11" s="1">
        <v>2</v>
      </c>
      <c r="E11" s="58" t="s">
        <v>139</v>
      </c>
      <c r="F11" s="83"/>
      <c r="G11" s="83"/>
      <c r="H11" s="83"/>
      <c r="I11" s="83"/>
      <c r="J11" s="83"/>
      <c r="K11" s="83"/>
      <c r="L11" s="83"/>
      <c r="M11" s="83"/>
      <c r="N11" s="83"/>
    </row>
    <row r="12" spans="2:14" ht="20" customHeight="1" x14ac:dyDescent="0.15">
      <c r="B12" s="47" t="s">
        <v>21</v>
      </c>
      <c r="D12" s="1">
        <v>3</v>
      </c>
      <c r="E12" s="58" t="s">
        <v>140</v>
      </c>
      <c r="F12" s="83"/>
      <c r="G12" s="83"/>
      <c r="H12" s="83"/>
      <c r="I12" s="83"/>
      <c r="J12" s="83"/>
      <c r="K12" s="83"/>
      <c r="L12" s="83"/>
      <c r="M12" s="83"/>
      <c r="N12" s="83"/>
    </row>
    <row r="13" spans="2:14" ht="20" customHeight="1" x14ac:dyDescent="0.15">
      <c r="B13" s="48" t="s">
        <v>22</v>
      </c>
      <c r="D13" s="1">
        <v>4</v>
      </c>
      <c r="E13" s="58" t="s">
        <v>141</v>
      </c>
      <c r="F13" s="83"/>
      <c r="G13" s="83"/>
      <c r="H13" s="83"/>
      <c r="I13" s="83"/>
      <c r="J13" s="83"/>
      <c r="K13" s="83"/>
      <c r="L13" s="83"/>
      <c r="M13" s="83"/>
      <c r="N13" s="83"/>
    </row>
    <row r="14" spans="2:14" ht="20" customHeight="1" x14ac:dyDescent="0.15">
      <c r="B14" s="48"/>
    </row>
    <row r="15" spans="2:14" ht="14" x14ac:dyDescent="0.15">
      <c r="B15" s="48"/>
      <c r="D15" s="63" t="s">
        <v>47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</row>
    <row r="16" spans="2:14" ht="20" customHeight="1" x14ac:dyDescent="0.15">
      <c r="B16" s="48"/>
    </row>
    <row r="17" spans="2:2" ht="14" x14ac:dyDescent="0.15">
      <c r="B17" s="48"/>
    </row>
    <row r="18" spans="2:2" ht="14" x14ac:dyDescent="0.15">
      <c r="B18" s="48"/>
    </row>
    <row r="19" spans="2:2" ht="14" x14ac:dyDescent="0.15">
      <c r="B19" s="48"/>
    </row>
    <row r="20" spans="2:2" ht="14" x14ac:dyDescent="0.15">
      <c r="B20" s="48"/>
    </row>
    <row r="21" spans="2:2" ht="14" x14ac:dyDescent="0.15">
      <c r="B21" s="48"/>
    </row>
    <row r="22" spans="2:2" ht="14" x14ac:dyDescent="0.15">
      <c r="B22" s="48"/>
    </row>
    <row r="23" spans="2:2" ht="14" x14ac:dyDescent="0.15">
      <c r="B23" s="48"/>
    </row>
    <row r="24" spans="2:2" ht="14" x14ac:dyDescent="0.15">
      <c r="B24" s="48"/>
    </row>
    <row r="25" spans="2:2" ht="14" x14ac:dyDescent="0.15">
      <c r="B25" s="48"/>
    </row>
    <row r="26" spans="2:2" ht="14" x14ac:dyDescent="0.15">
      <c r="B26" s="48"/>
    </row>
    <row r="27" spans="2:2" ht="14" x14ac:dyDescent="0.15">
      <c r="B27" s="48"/>
    </row>
    <row r="28" spans="2:2" ht="14" x14ac:dyDescent="0.15">
      <c r="B28" s="48"/>
    </row>
    <row r="29" spans="2:2" ht="14" x14ac:dyDescent="0.15">
      <c r="B29" s="48"/>
    </row>
    <row r="30" spans="2:2" ht="14" x14ac:dyDescent="0.15">
      <c r="B30" s="48"/>
    </row>
    <row r="31" spans="2:2" ht="14" x14ac:dyDescent="0.15">
      <c r="B31" s="48"/>
    </row>
    <row r="32" spans="2:2" ht="14" x14ac:dyDescent="0.15">
      <c r="B32" s="48"/>
    </row>
    <row r="33" spans="2:2" ht="14" x14ac:dyDescent="0.15">
      <c r="B33" s="48"/>
    </row>
    <row r="34" spans="2:2" ht="14" x14ac:dyDescent="0.15">
      <c r="B34" s="48"/>
    </row>
    <row r="35" spans="2:2" ht="14" x14ac:dyDescent="0.15">
      <c r="B35" s="48"/>
    </row>
    <row r="36" spans="2:2" ht="14" x14ac:dyDescent="0.15">
      <c r="B36" s="48"/>
    </row>
    <row r="37" spans="2:2" ht="14" x14ac:dyDescent="0.15">
      <c r="B37" s="48"/>
    </row>
    <row r="38" spans="2:2" ht="14" x14ac:dyDescent="0.15">
      <c r="B38" s="48"/>
    </row>
    <row r="39" spans="2:2" ht="14" x14ac:dyDescent="0.15">
      <c r="B39" s="48"/>
    </row>
    <row r="40" spans="2:2" ht="14" x14ac:dyDescent="0.15">
      <c r="B40" s="48"/>
    </row>
    <row r="41" spans="2:2" ht="14" x14ac:dyDescent="0.15">
      <c r="B41" s="48"/>
    </row>
    <row r="42" spans="2:2" ht="14" x14ac:dyDescent="0.15">
      <c r="B42" s="48"/>
    </row>
    <row r="43" spans="2:2" ht="14" x14ac:dyDescent="0.15">
      <c r="B43" s="48"/>
    </row>
    <row r="44" spans="2:2" ht="14" x14ac:dyDescent="0.15">
      <c r="B44" s="48"/>
    </row>
    <row r="45" spans="2:2" ht="14" x14ac:dyDescent="0.15">
      <c r="B45" s="48"/>
    </row>
    <row r="46" spans="2:2" ht="14" x14ac:dyDescent="0.15">
      <c r="B46" s="48"/>
    </row>
    <row r="47" spans="2:2" ht="14" x14ac:dyDescent="0.15">
      <c r="B47" s="48"/>
    </row>
    <row r="48" spans="2:2" ht="14" x14ac:dyDescent="0.15">
      <c r="B48" s="48"/>
    </row>
    <row r="49" spans="2:14" ht="14" x14ac:dyDescent="0.15">
      <c r="B49" s="48"/>
    </row>
    <row r="50" spans="2:14" ht="14" x14ac:dyDescent="0.15">
      <c r="B50" s="48"/>
      <c r="D50" s="63" t="s">
        <v>142</v>
      </c>
      <c r="E50" s="56"/>
      <c r="F50" s="56"/>
      <c r="G50" s="56"/>
      <c r="H50" s="56"/>
      <c r="I50" s="56"/>
      <c r="J50" s="56"/>
      <c r="K50" s="56"/>
      <c r="L50" s="56"/>
      <c r="M50" s="56"/>
      <c r="N50" s="56"/>
    </row>
    <row r="51" spans="2:14" ht="20" customHeight="1" x14ac:dyDescent="0.15">
      <c r="B51" s="48"/>
      <c r="D51" s="3" t="s">
        <v>81</v>
      </c>
      <c r="E51" s="3" t="s">
        <v>75</v>
      </c>
      <c r="F51" s="3" t="s">
        <v>76</v>
      </c>
      <c r="G51" s="3" t="s">
        <v>122</v>
      </c>
      <c r="H51" s="3" t="s">
        <v>77</v>
      </c>
      <c r="I51" s="3" t="s">
        <v>143</v>
      </c>
      <c r="J51" s="3" t="s">
        <v>78</v>
      </c>
      <c r="L51" s="14" t="s">
        <v>144</v>
      </c>
      <c r="M51" s="14" t="s">
        <v>75</v>
      </c>
      <c r="N51" s="14" t="s">
        <v>145</v>
      </c>
    </row>
    <row r="52" spans="2:14" ht="30" customHeight="1" x14ac:dyDescent="0.15">
      <c r="B52" s="48"/>
      <c r="D52" s="4" t="s">
        <v>71</v>
      </c>
      <c r="E52" s="5">
        <v>9025222.0840000007</v>
      </c>
      <c r="F52" s="6">
        <v>18019</v>
      </c>
      <c r="G52" s="6">
        <v>3920</v>
      </c>
      <c r="H52" s="6">
        <v>4662390</v>
      </c>
      <c r="I52" s="15">
        <v>0.8461131522893568</v>
      </c>
      <c r="J52" s="5">
        <v>500.87252810921808</v>
      </c>
      <c r="L52" s="4" t="str">
        <f t="shared" ref="L52:M56" si="0">D52</f>
        <v>United Kingdom</v>
      </c>
      <c r="M52" s="16">
        <f t="shared" si="0"/>
        <v>9025222.0840000007</v>
      </c>
      <c r="N52" s="17">
        <f>M52/SUM(M52:M57)</f>
        <v>0.84611315228935668</v>
      </c>
    </row>
    <row r="53" spans="2:14" ht="18" customHeight="1" x14ac:dyDescent="0.15">
      <c r="B53" s="48"/>
      <c r="D53" s="8" t="s">
        <v>59</v>
      </c>
      <c r="E53" s="9">
        <v>285446.34000000003</v>
      </c>
      <c r="F53" s="10">
        <v>94</v>
      </c>
      <c r="G53" s="10">
        <v>9</v>
      </c>
      <c r="H53" s="10">
        <v>200361</v>
      </c>
      <c r="I53" s="18">
        <v>2.6760549524318999E-2</v>
      </c>
      <c r="J53" s="9">
        <v>3036.6631914893619</v>
      </c>
      <c r="L53" s="8" t="str">
        <f t="shared" si="0"/>
        <v>Netherlands</v>
      </c>
      <c r="M53" s="19">
        <f t="shared" si="0"/>
        <v>285446.34000000003</v>
      </c>
      <c r="N53" s="20">
        <f>M53/SUM(M52:M57)</f>
        <v>2.6760549524318996E-2</v>
      </c>
    </row>
    <row r="54" spans="2:14" ht="18" customHeight="1" x14ac:dyDescent="0.15">
      <c r="B54" s="48"/>
      <c r="D54" s="4" t="s">
        <v>44</v>
      </c>
      <c r="E54" s="5">
        <v>283453.96000000002</v>
      </c>
      <c r="F54" s="6">
        <v>288</v>
      </c>
      <c r="G54" s="6">
        <v>3</v>
      </c>
      <c r="H54" s="6">
        <v>147173</v>
      </c>
      <c r="I54" s="15">
        <v>2.6573764212371179E-2</v>
      </c>
      <c r="J54" s="5">
        <v>984.21513888888899</v>
      </c>
      <c r="L54" s="4" t="str">
        <f t="shared" si="0"/>
        <v>EIRE</v>
      </c>
      <c r="M54" s="16">
        <f t="shared" si="0"/>
        <v>283453.96000000002</v>
      </c>
      <c r="N54" s="17">
        <f>M54/SUM(M52:M57)</f>
        <v>2.6573764212371179E-2</v>
      </c>
    </row>
    <row r="55" spans="2:14" ht="18" customHeight="1" x14ac:dyDescent="0.15">
      <c r="B55" s="48"/>
      <c r="D55" s="8" t="s">
        <v>49</v>
      </c>
      <c r="E55" s="9">
        <v>228867.14</v>
      </c>
      <c r="F55" s="10">
        <v>457</v>
      </c>
      <c r="G55" s="10">
        <v>94</v>
      </c>
      <c r="H55" s="10">
        <v>119261</v>
      </c>
      <c r="I55" s="18">
        <v>2.14562584143109E-2</v>
      </c>
      <c r="J55" s="9">
        <v>500.8033698030635</v>
      </c>
      <c r="L55" s="8" t="str">
        <f t="shared" si="0"/>
        <v>Germany</v>
      </c>
      <c r="M55" s="19">
        <f t="shared" si="0"/>
        <v>228867.14</v>
      </c>
      <c r="N55" s="20">
        <f>M55/SUM(M52:M57)</f>
        <v>2.1456258414310897E-2</v>
      </c>
    </row>
    <row r="56" spans="2:14" ht="18" customHeight="1" x14ac:dyDescent="0.15">
      <c r="B56" s="48"/>
      <c r="D56" s="4" t="s">
        <v>48</v>
      </c>
      <c r="E56" s="5">
        <v>209715.11</v>
      </c>
      <c r="F56" s="6">
        <v>392</v>
      </c>
      <c r="G56" s="6">
        <v>87</v>
      </c>
      <c r="H56" s="6">
        <v>112103</v>
      </c>
      <c r="I56" s="15">
        <v>1.9660758611068571E-2</v>
      </c>
      <c r="J56" s="5">
        <v>534.98752551020402</v>
      </c>
      <c r="L56" s="4" t="str">
        <f t="shared" si="0"/>
        <v>France</v>
      </c>
      <c r="M56" s="16">
        <f t="shared" si="0"/>
        <v>209715.11</v>
      </c>
      <c r="N56" s="17">
        <f>M56/SUM(M52:M57)</f>
        <v>1.9660758611068564E-2</v>
      </c>
    </row>
    <row r="57" spans="2:14" ht="18" customHeight="1" x14ac:dyDescent="0.15">
      <c r="B57" s="48"/>
      <c r="D57" s="8" t="s">
        <v>30</v>
      </c>
      <c r="E57" s="9">
        <v>138521.31</v>
      </c>
      <c r="F57" s="10">
        <v>57</v>
      </c>
      <c r="G57" s="10">
        <v>9</v>
      </c>
      <c r="H57" s="10">
        <v>83901</v>
      </c>
      <c r="I57" s="18">
        <v>1.298635104737565E-2</v>
      </c>
      <c r="J57" s="9">
        <v>2430.1984210526321</v>
      </c>
      <c r="L57" s="8" t="s">
        <v>146</v>
      </c>
      <c r="M57" s="19">
        <f>SUM(E52:E89)-SUM(M52:M56)</f>
        <v>633979.91000000015</v>
      </c>
      <c r="N57" s="20">
        <f>M57/SUM(M52:M57)</f>
        <v>5.9435516948573602E-2</v>
      </c>
    </row>
    <row r="58" spans="2:14" ht="18" customHeight="1" x14ac:dyDescent="0.15">
      <c r="B58" s="48"/>
      <c r="D58" s="4" t="s">
        <v>66</v>
      </c>
      <c r="E58" s="5">
        <v>61577.11</v>
      </c>
      <c r="F58" s="6">
        <v>90</v>
      </c>
      <c r="G58" s="6">
        <v>30</v>
      </c>
      <c r="H58" s="6">
        <v>27940</v>
      </c>
      <c r="I58" s="15">
        <v>5.772844387212807E-3</v>
      </c>
      <c r="J58" s="5">
        <v>684.19011111111115</v>
      </c>
    </row>
    <row r="59" spans="2:14" ht="18" customHeight="1" x14ac:dyDescent="0.15">
      <c r="B59" s="48"/>
      <c r="D59" s="8" t="s">
        <v>68</v>
      </c>
      <c r="E59" s="9">
        <v>57089.9</v>
      </c>
      <c r="F59" s="10">
        <v>54</v>
      </c>
      <c r="G59" s="10">
        <v>21</v>
      </c>
      <c r="H59" s="10">
        <v>30629</v>
      </c>
      <c r="I59" s="18">
        <v>5.3521691547644967E-3</v>
      </c>
      <c r="J59" s="9">
        <v>1057.2203703703699</v>
      </c>
      <c r="L59" s="84" t="s">
        <v>147</v>
      </c>
      <c r="M59" s="56"/>
      <c r="N59" s="56"/>
    </row>
    <row r="60" spans="2:14" ht="18" customHeight="1" x14ac:dyDescent="0.15">
      <c r="B60" s="48"/>
      <c r="D60" s="4" t="s">
        <v>34</v>
      </c>
      <c r="E60" s="5">
        <v>41196.339999999997</v>
      </c>
      <c r="F60" s="6">
        <v>98</v>
      </c>
      <c r="G60" s="6">
        <v>25</v>
      </c>
      <c r="H60" s="6">
        <v>23237</v>
      </c>
      <c r="I60" s="15">
        <v>3.8621504020359262E-3</v>
      </c>
      <c r="J60" s="5">
        <v>420.37081632653059</v>
      </c>
    </row>
    <row r="61" spans="2:14" ht="18" customHeight="1" x14ac:dyDescent="0.15">
      <c r="B61" s="48"/>
      <c r="D61" s="8" t="s">
        <v>67</v>
      </c>
      <c r="E61" s="9">
        <v>38378.33</v>
      </c>
      <c r="F61" s="10">
        <v>36</v>
      </c>
      <c r="G61" s="10">
        <v>8</v>
      </c>
      <c r="H61" s="10">
        <v>36083</v>
      </c>
      <c r="I61" s="18">
        <v>3.5979624073150061E-3</v>
      </c>
      <c r="J61" s="9">
        <v>1066.0647222222219</v>
      </c>
    </row>
    <row r="62" spans="2:14" ht="18" customHeight="1" x14ac:dyDescent="0.15">
      <c r="B62" s="48"/>
      <c r="D62" s="4" t="s">
        <v>55</v>
      </c>
      <c r="E62" s="5">
        <v>37416.370000000003</v>
      </c>
      <c r="F62" s="6">
        <v>19</v>
      </c>
      <c r="G62" s="6">
        <v>8</v>
      </c>
      <c r="H62" s="6">
        <v>26016</v>
      </c>
      <c r="I62" s="15">
        <v>3.5077788084627169E-3</v>
      </c>
      <c r="J62" s="5">
        <v>1969.2826315789471</v>
      </c>
    </row>
    <row r="63" spans="2:14" ht="18" customHeight="1" x14ac:dyDescent="0.15">
      <c r="B63" s="48"/>
      <c r="D63" s="8" t="s">
        <v>60</v>
      </c>
      <c r="E63" s="9">
        <v>36165.440000000002</v>
      </c>
      <c r="F63" s="10">
        <v>36</v>
      </c>
      <c r="G63" s="10">
        <v>10</v>
      </c>
      <c r="H63" s="10">
        <v>19336</v>
      </c>
      <c r="I63" s="18">
        <v>3.390504317514764E-3</v>
      </c>
      <c r="J63" s="9">
        <v>1004.595555555556</v>
      </c>
    </row>
    <row r="64" spans="2:14" ht="18" customHeight="1" x14ac:dyDescent="0.15">
      <c r="B64" s="48"/>
      <c r="D64" s="4" t="s">
        <v>62</v>
      </c>
      <c r="E64" s="5">
        <v>33747.1</v>
      </c>
      <c r="F64" s="6">
        <v>58</v>
      </c>
      <c r="G64" s="6">
        <v>19</v>
      </c>
      <c r="H64" s="6">
        <v>16258</v>
      </c>
      <c r="I64" s="15">
        <v>3.1637853224957989E-3</v>
      </c>
      <c r="J64" s="5">
        <v>581.84655172413795</v>
      </c>
    </row>
    <row r="65" spans="2:10" ht="18" customHeight="1" x14ac:dyDescent="0.15">
      <c r="B65" s="48"/>
      <c r="D65" s="8" t="s">
        <v>46</v>
      </c>
      <c r="E65" s="9">
        <v>22546.080000000002</v>
      </c>
      <c r="F65" s="10">
        <v>41</v>
      </c>
      <c r="G65" s="10">
        <v>12</v>
      </c>
      <c r="H65" s="10">
        <v>10704</v>
      </c>
      <c r="I65" s="18">
        <v>2.1136914574531171E-3</v>
      </c>
      <c r="J65" s="9">
        <v>549.90439024390253</v>
      </c>
    </row>
    <row r="66" spans="2:10" ht="18" customHeight="1" x14ac:dyDescent="0.15">
      <c r="B66" s="48"/>
      <c r="D66" s="4" t="s">
        <v>65</v>
      </c>
      <c r="E66" s="5">
        <v>21279.29</v>
      </c>
      <c r="F66" s="6">
        <v>7</v>
      </c>
      <c r="G66" s="6">
        <v>1</v>
      </c>
      <c r="H66" s="6">
        <v>5241</v>
      </c>
      <c r="I66" s="15">
        <v>1.9949300939971631E-3</v>
      </c>
      <c r="J66" s="5">
        <v>3039.8985714285709</v>
      </c>
    </row>
    <row r="67" spans="2:10" ht="18" customHeight="1" x14ac:dyDescent="0.15">
      <c r="B67" s="48"/>
      <c r="D67" s="8" t="s">
        <v>39</v>
      </c>
      <c r="E67" s="9">
        <v>20450.439999999999</v>
      </c>
      <c r="F67" s="10">
        <v>26</v>
      </c>
      <c r="G67" s="10">
        <v>9</v>
      </c>
      <c r="H67" s="10">
        <v>9491</v>
      </c>
      <c r="I67" s="18">
        <v>1.9172255367299999E-3</v>
      </c>
      <c r="J67" s="9">
        <v>786.55538461538458</v>
      </c>
    </row>
    <row r="68" spans="2:10" ht="18" customHeight="1" x14ac:dyDescent="0.15">
      <c r="B68" s="48"/>
      <c r="D68" s="4" t="s">
        <v>43</v>
      </c>
      <c r="E68" s="5">
        <v>18955.34</v>
      </c>
      <c r="F68" s="6">
        <v>18</v>
      </c>
      <c r="G68" s="6">
        <v>9</v>
      </c>
      <c r="H68" s="6">
        <v>8235</v>
      </c>
      <c r="I68" s="15">
        <v>1.777060146647194E-3</v>
      </c>
      <c r="J68" s="5">
        <v>1053.074444444444</v>
      </c>
    </row>
    <row r="69" spans="2:10" ht="18" customHeight="1" x14ac:dyDescent="0.15">
      <c r="B69" s="48"/>
      <c r="D69" s="8" t="s">
        <v>54</v>
      </c>
      <c r="E69" s="9">
        <v>17483.240000000002</v>
      </c>
      <c r="F69" s="10">
        <v>38</v>
      </c>
      <c r="G69" s="10">
        <v>14</v>
      </c>
      <c r="H69" s="10">
        <v>8112</v>
      </c>
      <c r="I69" s="18">
        <v>1.639051002950519E-3</v>
      </c>
      <c r="J69" s="9">
        <v>460.08526315789481</v>
      </c>
    </row>
    <row r="70" spans="2:10" ht="18" customHeight="1" x14ac:dyDescent="0.15">
      <c r="B70" s="48"/>
      <c r="D70" s="4" t="s">
        <v>51</v>
      </c>
      <c r="E70" s="5">
        <v>15691.8</v>
      </c>
      <c r="F70" s="6">
        <v>11</v>
      </c>
      <c r="G70" s="6">
        <v>0</v>
      </c>
      <c r="H70" s="6">
        <v>4773</v>
      </c>
      <c r="I70" s="15">
        <v>1.471103784430057E-3</v>
      </c>
      <c r="J70" s="5">
        <v>1426.5272727272729</v>
      </c>
    </row>
    <row r="71" spans="2:10" ht="18" customHeight="1" x14ac:dyDescent="0.15">
      <c r="B71" s="48"/>
      <c r="D71" s="8" t="s">
        <v>41</v>
      </c>
      <c r="E71" s="9">
        <v>13590.38</v>
      </c>
      <c r="F71" s="10">
        <v>16</v>
      </c>
      <c r="G71" s="10">
        <v>8</v>
      </c>
      <c r="H71" s="10">
        <v>6361</v>
      </c>
      <c r="I71" s="18">
        <v>1.274095989615121E-3</v>
      </c>
      <c r="J71" s="9">
        <v>849.39874999999995</v>
      </c>
    </row>
    <row r="72" spans="2:10" ht="18" customHeight="1" x14ac:dyDescent="0.15">
      <c r="B72" s="48"/>
      <c r="D72" s="4" t="s">
        <v>31</v>
      </c>
      <c r="E72" s="5">
        <v>10198.68</v>
      </c>
      <c r="F72" s="6">
        <v>17</v>
      </c>
      <c r="G72" s="6">
        <v>11</v>
      </c>
      <c r="H72" s="6">
        <v>4881</v>
      </c>
      <c r="I72" s="15">
        <v>9.561246475350908E-4</v>
      </c>
      <c r="J72" s="5">
        <v>599.92235294117654</v>
      </c>
    </row>
    <row r="73" spans="2:10" ht="18" customHeight="1" x14ac:dyDescent="0.15">
      <c r="B73" s="48"/>
      <c r="D73" s="8" t="s">
        <v>53</v>
      </c>
      <c r="E73" s="9">
        <v>8135.26</v>
      </c>
      <c r="F73" s="10">
        <v>8</v>
      </c>
      <c r="G73" s="10">
        <v>3</v>
      </c>
      <c r="H73" s="10">
        <v>4409</v>
      </c>
      <c r="I73" s="18">
        <v>7.6267934674941493E-4</v>
      </c>
      <c r="J73" s="9">
        <v>1016.9075</v>
      </c>
    </row>
    <row r="74" spans="2:10" ht="18" customHeight="1" x14ac:dyDescent="0.15">
      <c r="B74" s="48"/>
      <c r="D74" s="4" t="s">
        <v>61</v>
      </c>
      <c r="E74" s="5">
        <v>7334.65</v>
      </c>
      <c r="F74" s="6">
        <v>19</v>
      </c>
      <c r="G74" s="6">
        <v>6</v>
      </c>
      <c r="H74" s="6">
        <v>3684</v>
      </c>
      <c r="I74" s="15">
        <v>6.8762228504505021E-4</v>
      </c>
      <c r="J74" s="5">
        <v>386.03421052631569</v>
      </c>
    </row>
    <row r="75" spans="2:10" ht="18" customHeight="1" x14ac:dyDescent="0.15">
      <c r="B75" s="48"/>
      <c r="D75" s="8" t="s">
        <v>50</v>
      </c>
      <c r="E75" s="9">
        <v>4760.5200000000004</v>
      </c>
      <c r="F75" s="10">
        <v>5</v>
      </c>
      <c r="G75" s="10">
        <v>4</v>
      </c>
      <c r="H75" s="10">
        <v>1557</v>
      </c>
      <c r="I75" s="18">
        <v>4.4629800200454868E-4</v>
      </c>
      <c r="J75" s="9">
        <v>952.10400000000004</v>
      </c>
    </row>
    <row r="76" spans="2:10" ht="18" customHeight="1" x14ac:dyDescent="0.15">
      <c r="B76" s="48"/>
      <c r="D76" s="4" t="s">
        <v>72</v>
      </c>
      <c r="E76" s="5">
        <v>4749.79</v>
      </c>
      <c r="F76" s="6">
        <v>13</v>
      </c>
      <c r="G76" s="6">
        <v>4</v>
      </c>
      <c r="H76" s="6">
        <v>3300</v>
      </c>
      <c r="I76" s="15">
        <v>4.4529206619049711E-4</v>
      </c>
      <c r="J76" s="5">
        <v>365.36846153846147</v>
      </c>
    </row>
    <row r="77" spans="2:10" ht="18" customHeight="1" x14ac:dyDescent="0.15">
      <c r="B77" s="48"/>
      <c r="D77" s="8" t="s">
        <v>52</v>
      </c>
      <c r="E77" s="9">
        <v>4310</v>
      </c>
      <c r="F77" s="10">
        <v>7</v>
      </c>
      <c r="G77" s="10">
        <v>1</v>
      </c>
      <c r="H77" s="10">
        <v>2458</v>
      </c>
      <c r="I77" s="18">
        <v>4.04061822792385E-4</v>
      </c>
      <c r="J77" s="9">
        <v>615.71428571428567</v>
      </c>
    </row>
    <row r="78" spans="2:10" ht="18" customHeight="1" x14ac:dyDescent="0.15">
      <c r="B78" s="48"/>
      <c r="D78" s="4" t="s">
        <v>38</v>
      </c>
      <c r="E78" s="5">
        <v>3666.38</v>
      </c>
      <c r="F78" s="6">
        <v>6</v>
      </c>
      <c r="G78" s="6">
        <v>4</v>
      </c>
      <c r="H78" s="6">
        <v>2763</v>
      </c>
      <c r="I78" s="15">
        <v>3.4372254892100801E-4</v>
      </c>
      <c r="J78" s="5">
        <v>611.06333333333339</v>
      </c>
    </row>
    <row r="79" spans="2:10" ht="18" customHeight="1" x14ac:dyDescent="0.15">
      <c r="B79" s="48"/>
      <c r="D79" s="8" t="s">
        <v>69</v>
      </c>
      <c r="E79" s="9">
        <v>3580.39</v>
      </c>
      <c r="F79" s="10">
        <v>5</v>
      </c>
      <c r="G79" s="10">
        <v>4</v>
      </c>
      <c r="H79" s="10">
        <v>2458</v>
      </c>
      <c r="I79" s="18">
        <v>3.3566099993216408E-4</v>
      </c>
      <c r="J79" s="9">
        <v>716.07799999999997</v>
      </c>
    </row>
    <row r="80" spans="2:10" ht="18" customHeight="1" x14ac:dyDescent="0.15">
      <c r="B80" s="48"/>
      <c r="D80" s="4" t="s">
        <v>58</v>
      </c>
      <c r="E80" s="5">
        <v>2725.59</v>
      </c>
      <c r="F80" s="6">
        <v>5</v>
      </c>
      <c r="G80" s="6">
        <v>2</v>
      </c>
      <c r="H80" s="6">
        <v>970</v>
      </c>
      <c r="I80" s="15">
        <v>2.5552363424238898E-4</v>
      </c>
      <c r="J80" s="5">
        <v>545.11800000000005</v>
      </c>
    </row>
    <row r="81" spans="2:14" ht="18" customHeight="1" x14ac:dyDescent="0.15">
      <c r="B81" s="48"/>
      <c r="D81" s="8" t="s">
        <v>70</v>
      </c>
      <c r="E81" s="9">
        <v>1902.28</v>
      </c>
      <c r="F81" s="10">
        <v>3</v>
      </c>
      <c r="G81" s="10">
        <v>2</v>
      </c>
      <c r="H81" s="10">
        <v>982</v>
      </c>
      <c r="I81" s="18">
        <v>1.7833845110475601E-4</v>
      </c>
      <c r="J81" s="9">
        <v>634.09333333333336</v>
      </c>
    </row>
    <row r="82" spans="2:14" ht="18" customHeight="1" x14ac:dyDescent="0.15">
      <c r="B82" s="48"/>
      <c r="D82" s="4" t="s">
        <v>56</v>
      </c>
      <c r="E82" s="5">
        <v>1693.88</v>
      </c>
      <c r="F82" s="6">
        <v>1</v>
      </c>
      <c r="G82" s="6">
        <v>1</v>
      </c>
      <c r="H82" s="6">
        <v>386</v>
      </c>
      <c r="I82" s="15">
        <v>1.588009838495511E-4</v>
      </c>
      <c r="J82" s="5">
        <v>1693.88</v>
      </c>
    </row>
    <row r="83" spans="2:14" ht="18" customHeight="1" x14ac:dyDescent="0.15">
      <c r="B83" s="48"/>
      <c r="D83" s="8" t="s">
        <v>57</v>
      </c>
      <c r="E83" s="9">
        <v>1661.06</v>
      </c>
      <c r="F83" s="10">
        <v>4</v>
      </c>
      <c r="G83" s="10">
        <v>1</v>
      </c>
      <c r="H83" s="10">
        <v>652</v>
      </c>
      <c r="I83" s="18">
        <v>1.5572411400638489E-4</v>
      </c>
      <c r="J83" s="9">
        <v>415.26499999999999</v>
      </c>
    </row>
    <row r="84" spans="2:14" ht="18" customHeight="1" x14ac:dyDescent="0.15">
      <c r="B84" s="48"/>
      <c r="D84" s="4" t="s">
        <v>45</v>
      </c>
      <c r="E84" s="5">
        <v>1300.25</v>
      </c>
      <c r="F84" s="6">
        <v>4</v>
      </c>
      <c r="G84" s="6">
        <v>1</v>
      </c>
      <c r="H84" s="6">
        <v>499</v>
      </c>
      <c r="I84" s="15">
        <v>1.218982331985612E-4</v>
      </c>
      <c r="J84" s="5">
        <v>325.0625</v>
      </c>
    </row>
    <row r="85" spans="2:14" ht="18" customHeight="1" x14ac:dyDescent="0.15">
      <c r="B85" s="48"/>
      <c r="D85" s="8" t="s">
        <v>35</v>
      </c>
      <c r="E85" s="9">
        <v>1143.5999999999999</v>
      </c>
      <c r="F85" s="10">
        <v>1</v>
      </c>
      <c r="G85" s="10">
        <v>1</v>
      </c>
      <c r="H85" s="10">
        <v>356</v>
      </c>
      <c r="I85" s="18">
        <v>1.072123203121512E-4</v>
      </c>
      <c r="J85" s="9">
        <v>1143.5999999999999</v>
      </c>
    </row>
    <row r="86" spans="2:14" ht="18" customHeight="1" x14ac:dyDescent="0.15">
      <c r="B86" s="48"/>
      <c r="D86" s="4" t="s">
        <v>63</v>
      </c>
      <c r="E86" s="5">
        <v>1002.31</v>
      </c>
      <c r="F86" s="6">
        <v>1</v>
      </c>
      <c r="G86" s="6">
        <v>1</v>
      </c>
      <c r="H86" s="6">
        <v>351</v>
      </c>
      <c r="I86" s="15">
        <v>9.3966405012305202E-5</v>
      </c>
      <c r="J86" s="5">
        <v>1002.31</v>
      </c>
    </row>
    <row r="87" spans="2:14" ht="18" customHeight="1" x14ac:dyDescent="0.15">
      <c r="B87" s="48"/>
      <c r="D87" s="8" t="s">
        <v>42</v>
      </c>
      <c r="E87" s="9">
        <v>826.74</v>
      </c>
      <c r="F87" s="10">
        <v>2</v>
      </c>
      <c r="G87" s="10">
        <v>1</v>
      </c>
      <c r="H87" s="10">
        <v>671</v>
      </c>
      <c r="I87" s="18">
        <v>7.7506745098695213E-5</v>
      </c>
      <c r="J87" s="9">
        <v>413.37</v>
      </c>
    </row>
    <row r="88" spans="2:14" ht="18" customHeight="1" x14ac:dyDescent="0.15">
      <c r="B88" s="48"/>
      <c r="D88" s="4" t="s">
        <v>33</v>
      </c>
      <c r="E88" s="5">
        <v>754.14</v>
      </c>
      <c r="F88" s="6">
        <v>3</v>
      </c>
      <c r="G88" s="6">
        <v>2</v>
      </c>
      <c r="H88" s="6">
        <v>314</v>
      </c>
      <c r="I88" s="15">
        <v>7.0700506505951097E-5</v>
      </c>
      <c r="J88" s="5">
        <v>251.38</v>
      </c>
    </row>
    <row r="89" spans="2:14" ht="18" customHeight="1" x14ac:dyDescent="0.15">
      <c r="B89" s="48"/>
      <c r="D89" s="8" t="s">
        <v>64</v>
      </c>
      <c r="E89" s="9">
        <v>145.91999999999999</v>
      </c>
      <c r="F89" s="10">
        <v>1</v>
      </c>
      <c r="G89" s="10">
        <v>1</v>
      </c>
      <c r="H89" s="10">
        <v>80</v>
      </c>
      <c r="I89" s="18">
        <v>1.367997707235843E-5</v>
      </c>
      <c r="J89" s="9">
        <v>145.91999999999999</v>
      </c>
    </row>
    <row r="90" spans="2:14" ht="18" customHeight="1" x14ac:dyDescent="0.15">
      <c r="B90" s="48"/>
    </row>
    <row r="91" spans="2:14" ht="14" x14ac:dyDescent="0.15">
      <c r="B91" s="48"/>
      <c r="D91" s="84" t="s">
        <v>148</v>
      </c>
      <c r="E91" s="56"/>
      <c r="F91" s="56"/>
      <c r="G91" s="56"/>
      <c r="H91" s="56"/>
      <c r="I91" s="56"/>
      <c r="J91" s="56"/>
      <c r="K91" s="56"/>
      <c r="L91" s="56"/>
      <c r="M91" s="56"/>
      <c r="N91" s="56"/>
    </row>
    <row r="92" spans="2:14" ht="18" customHeight="1" x14ac:dyDescent="0.15"/>
  </sheetData>
  <mergeCells count="27">
    <mergeCell ref="E4:F4"/>
    <mergeCell ref="K4:L4"/>
    <mergeCell ref="D9:N9"/>
    <mergeCell ref="M4:N4"/>
    <mergeCell ref="G7:H7"/>
    <mergeCell ref="E7:F7"/>
    <mergeCell ref="B1:B2"/>
    <mergeCell ref="E13:N13"/>
    <mergeCell ref="D15:N15"/>
    <mergeCell ref="I5:J6"/>
    <mergeCell ref="K7:L7"/>
    <mergeCell ref="K5:L6"/>
    <mergeCell ref="G4:H4"/>
    <mergeCell ref="D1:N2"/>
    <mergeCell ref="I4:J4"/>
    <mergeCell ref="I7:J7"/>
    <mergeCell ref="M7:N7"/>
    <mergeCell ref="E12:N12"/>
    <mergeCell ref="E10:N10"/>
    <mergeCell ref="E5:F6"/>
    <mergeCell ref="G5:H6"/>
    <mergeCell ref="D91:N91"/>
    <mergeCell ref="D50:N50"/>
    <mergeCell ref="D5:D6"/>
    <mergeCell ref="E11:N11"/>
    <mergeCell ref="L59:N59"/>
    <mergeCell ref="M5:N6"/>
  </mergeCells>
  <hyperlinks>
    <hyperlink ref="B3" location="'Dashboard'!A1" display="1 · Dashboard" xr:uid="{00000000-0004-0000-0300-000000000000}"/>
    <hyperlink ref="B4" location="'Sales Analysis'!A1" display="2 · Sales Analysis" xr:uid="{00000000-0004-0000-0300-000001000000}"/>
    <hyperlink ref="B5" location="'Monthly Analysis'!A1" display="3 · Monthly Analysis" xr:uid="{00000000-0004-0000-0300-000002000000}"/>
    <hyperlink ref="B6" location="'Country Analysis'!A1" display="4 · Country Analysis" xr:uid="{00000000-0004-0000-0300-000003000000}"/>
    <hyperlink ref="B7" location="'Product Analysis'!A1" display="5 · Product Analysis" xr:uid="{00000000-0004-0000-0300-000004000000}"/>
    <hyperlink ref="B8" location="'Customer Analysis'!A1" display="6 · Customer Analysis" xr:uid="{00000000-0004-0000-0300-000005000000}"/>
    <hyperlink ref="B9" location="'Returns &amp; Cancellations'!A1" display="7 · Returns &amp; Cancellations" xr:uid="{00000000-0004-0000-0300-000006000000}"/>
    <hyperlink ref="B10" location="'Time Analysis'!A1" display="8 · Time Analysis" xr:uid="{00000000-0004-0000-0300-000007000000}"/>
    <hyperlink ref="B11" location="'Data Quality'!A1" display="9 · Data Quality" xr:uid="{00000000-0004-0000-0300-000008000000}"/>
    <hyperlink ref="B12" location="'Data Dictionary'!A1" display="10 · Data Dictionary" xr:uid="{00000000-0004-0000-0300-000009000000}"/>
    <hyperlink ref="B13" location="'Transaction Data'!A1" display="11 · Transaction Data" xr:uid="{00000000-0004-0000-0300-00000A000000}"/>
  </hyperlinks>
  <pageMargins left="0.75" right="0.75" top="1" bottom="1" header="0.5" footer="0.5"/>
  <pageSetup scale="45"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6EB4"/>
    <pageSetUpPr fitToPage="1"/>
  </sheetPr>
  <dimension ref="B1:M254"/>
  <sheetViews>
    <sheetView showGridLines="0" zoomScaleNormal="100" workbookViewId="0">
      <pane xSplit="3" ySplit="2" topLeftCell="D3" activePane="bottomRight" state="frozen"/>
      <selection pane="topRight"/>
      <selection pane="bottomLeft"/>
      <selection pane="bottomRight" activeCell="B6" sqref="B6"/>
    </sheetView>
  </sheetViews>
  <sheetFormatPr baseColWidth="10" defaultColWidth="8.83203125" defaultRowHeight="13" x14ac:dyDescent="0.15"/>
  <cols>
    <col min="1" max="1" width="1.5" customWidth="1"/>
    <col min="2" max="2" width="26" customWidth="1"/>
    <col min="3" max="3" width="1.5" customWidth="1"/>
    <col min="4" max="4" width="13" customWidth="1"/>
    <col min="5" max="5" width="39" customWidth="1"/>
    <col min="6" max="13" width="13" customWidth="1"/>
  </cols>
  <sheetData>
    <row r="1" spans="2:13" ht="20" customHeight="1" x14ac:dyDescent="0.15">
      <c r="B1" s="65" t="s">
        <v>0</v>
      </c>
      <c r="D1" s="71" t="s">
        <v>149</v>
      </c>
      <c r="E1" s="72"/>
      <c r="F1" s="72"/>
      <c r="G1" s="72"/>
      <c r="H1" s="72"/>
      <c r="I1" s="72"/>
      <c r="J1" s="72"/>
      <c r="K1" s="72"/>
      <c r="L1" s="72"/>
      <c r="M1" s="72"/>
    </row>
    <row r="2" spans="2:13" ht="20" customHeight="1" x14ac:dyDescent="0.15">
      <c r="B2" s="56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2:13" ht="20" customHeight="1" x14ac:dyDescent="0.15">
      <c r="B3" s="51" t="s">
        <v>2</v>
      </c>
    </row>
    <row r="4" spans="2:13" ht="20" customHeight="1" x14ac:dyDescent="0.15">
      <c r="B4" s="47" t="s">
        <v>3</v>
      </c>
      <c r="D4" s="67" t="s">
        <v>150</v>
      </c>
      <c r="E4" s="75"/>
      <c r="F4" s="67" t="s">
        <v>151</v>
      </c>
      <c r="G4" s="75"/>
      <c r="H4" s="67" t="s">
        <v>152</v>
      </c>
      <c r="I4" s="75"/>
      <c r="J4" s="67" t="s">
        <v>153</v>
      </c>
      <c r="K4" s="75"/>
      <c r="L4" s="67" t="s">
        <v>154</v>
      </c>
      <c r="M4" s="75"/>
    </row>
    <row r="5" spans="2:13" ht="20" customHeight="1" x14ac:dyDescent="0.15">
      <c r="B5" s="47" t="s">
        <v>10</v>
      </c>
      <c r="D5" s="88" t="str">
        <f>INDEX(E52:E251,MATCH(MAX(F52:F251),F52:F251,0))</f>
        <v>DOTCOM POSTAGE</v>
      </c>
      <c r="E5" s="75"/>
      <c r="F5" s="87">
        <f>SUM(F52:F61)/SUM('Monthly Analysis'!$E$52:$E$64)</f>
        <v>0.10802474145053334</v>
      </c>
      <c r="G5" s="75"/>
      <c r="H5" s="87">
        <f>SUM(F52:F251)/SUM('Monthly Analysis'!$E$52:$E$64)</f>
        <v>0.46907669101496557</v>
      </c>
      <c r="I5" s="75"/>
      <c r="J5" s="73">
        <f>SUM(G52:G251)</f>
        <v>1871102</v>
      </c>
      <c r="K5" s="75"/>
      <c r="L5" s="64">
        <f>SUM(F52:F251)/COUNTA(D52:D251)</f>
        <v>25017.465449999985</v>
      </c>
      <c r="M5" s="75"/>
    </row>
    <row r="6" spans="2:13" ht="20" customHeight="1" x14ac:dyDescent="0.15">
      <c r="B6" s="47" t="s">
        <v>11</v>
      </c>
      <c r="D6" s="76"/>
      <c r="E6" s="75"/>
      <c r="F6" s="76"/>
      <c r="G6" s="75"/>
      <c r="H6" s="76"/>
      <c r="I6" s="75"/>
      <c r="J6" s="76"/>
      <c r="K6" s="75"/>
      <c r="L6" s="76"/>
      <c r="M6" s="75"/>
    </row>
    <row r="7" spans="2:13" ht="20" customHeight="1" x14ac:dyDescent="0.15">
      <c r="B7" s="46" t="s">
        <v>12</v>
      </c>
      <c r="D7" s="60" t="str">
        <f>"Stock code "&amp;INDEX(D52:D251,MATCH(MAX(F52:F251),F52:F251,0))&amp;" · "&amp;TEXT(MAX(F52:F251),"$#,##0")</f>
        <v>Stock code DOT · $206,249</v>
      </c>
      <c r="E7" s="78"/>
      <c r="F7" s="60" t="s">
        <v>155</v>
      </c>
      <c r="G7" s="78"/>
      <c r="H7" s="60" t="s">
        <v>155</v>
      </c>
      <c r="I7" s="78"/>
      <c r="J7" s="60" t="s">
        <v>156</v>
      </c>
      <c r="K7" s="78"/>
      <c r="L7" s="60" t="s">
        <v>157</v>
      </c>
      <c r="M7" s="78"/>
    </row>
    <row r="8" spans="2:13" ht="20" customHeight="1" x14ac:dyDescent="0.15">
      <c r="B8" s="47" t="s">
        <v>17</v>
      </c>
    </row>
    <row r="9" spans="2:13" ht="20" customHeight="1" x14ac:dyDescent="0.15">
      <c r="B9" s="47" t="s">
        <v>18</v>
      </c>
      <c r="D9" s="61" t="s">
        <v>116</v>
      </c>
      <c r="E9" s="56"/>
      <c r="F9" s="56"/>
      <c r="G9" s="56"/>
      <c r="H9" s="56"/>
      <c r="I9" s="56"/>
      <c r="J9" s="56"/>
      <c r="K9" s="56"/>
      <c r="L9" s="56"/>
      <c r="M9" s="56"/>
    </row>
    <row r="10" spans="2:13" ht="20" customHeight="1" x14ac:dyDescent="0.15">
      <c r="B10" s="47" t="s">
        <v>19</v>
      </c>
      <c r="D10" s="1">
        <v>1</v>
      </c>
      <c r="E10" s="58" t="s">
        <v>158</v>
      </c>
      <c r="F10" s="83"/>
      <c r="G10" s="83"/>
      <c r="H10" s="83"/>
      <c r="I10" s="83"/>
      <c r="J10" s="83"/>
      <c r="K10" s="83"/>
      <c r="L10" s="83"/>
      <c r="M10" s="83"/>
    </row>
    <row r="11" spans="2:13" ht="20" customHeight="1" x14ac:dyDescent="0.15">
      <c r="B11" s="47" t="s">
        <v>20</v>
      </c>
      <c r="D11" s="1">
        <v>2</v>
      </c>
      <c r="E11" s="58" t="s">
        <v>159</v>
      </c>
      <c r="F11" s="83"/>
      <c r="G11" s="83"/>
      <c r="H11" s="83"/>
      <c r="I11" s="83"/>
      <c r="J11" s="83"/>
      <c r="K11" s="83"/>
      <c r="L11" s="83"/>
      <c r="M11" s="83"/>
    </row>
    <row r="12" spans="2:13" ht="20" customHeight="1" x14ac:dyDescent="0.15">
      <c r="B12" s="47" t="s">
        <v>21</v>
      </c>
      <c r="D12" s="1">
        <v>3</v>
      </c>
      <c r="E12" s="58" t="s">
        <v>160</v>
      </c>
      <c r="F12" s="83"/>
      <c r="G12" s="83"/>
      <c r="H12" s="83"/>
      <c r="I12" s="83"/>
      <c r="J12" s="83"/>
      <c r="K12" s="83"/>
      <c r="L12" s="83"/>
      <c r="M12" s="83"/>
    </row>
    <row r="13" spans="2:13" ht="20" customHeight="1" x14ac:dyDescent="0.15">
      <c r="B13" s="48" t="s">
        <v>22</v>
      </c>
      <c r="D13" s="1">
        <v>4</v>
      </c>
      <c r="E13" s="58" t="s">
        <v>161</v>
      </c>
      <c r="F13" s="83"/>
      <c r="G13" s="83"/>
      <c r="H13" s="83"/>
      <c r="I13" s="83"/>
      <c r="J13" s="83"/>
      <c r="K13" s="83"/>
      <c r="L13" s="83"/>
      <c r="M13" s="83"/>
    </row>
    <row r="14" spans="2:13" ht="20" customHeight="1" x14ac:dyDescent="0.15">
      <c r="B14" s="48"/>
    </row>
    <row r="15" spans="2:13" ht="14" x14ac:dyDescent="0.15">
      <c r="B15" s="48"/>
      <c r="D15" s="63" t="s">
        <v>47</v>
      </c>
      <c r="E15" s="56"/>
      <c r="F15" s="56"/>
      <c r="G15" s="56"/>
      <c r="H15" s="56"/>
      <c r="I15" s="56"/>
      <c r="J15" s="56"/>
      <c r="K15" s="56"/>
      <c r="L15" s="56"/>
      <c r="M15" s="56"/>
    </row>
    <row r="16" spans="2:13" ht="20" customHeight="1" x14ac:dyDescent="0.15">
      <c r="B16" s="48"/>
    </row>
    <row r="17" spans="2:2" ht="14" x14ac:dyDescent="0.15">
      <c r="B17" s="48"/>
    </row>
    <row r="18" spans="2:2" ht="14" x14ac:dyDescent="0.15">
      <c r="B18" s="48"/>
    </row>
    <row r="19" spans="2:2" ht="14" x14ac:dyDescent="0.15">
      <c r="B19" s="48"/>
    </row>
    <row r="20" spans="2:2" ht="14" x14ac:dyDescent="0.15">
      <c r="B20" s="48"/>
    </row>
    <row r="21" spans="2:2" ht="14" x14ac:dyDescent="0.15">
      <c r="B21" s="48"/>
    </row>
    <row r="22" spans="2:2" ht="14" x14ac:dyDescent="0.15">
      <c r="B22" s="48"/>
    </row>
    <row r="23" spans="2:2" ht="14" x14ac:dyDescent="0.15">
      <c r="B23" s="48"/>
    </row>
    <row r="24" spans="2:2" ht="14" x14ac:dyDescent="0.15">
      <c r="B24" s="48"/>
    </row>
    <row r="25" spans="2:2" ht="14" x14ac:dyDescent="0.15">
      <c r="B25" s="48"/>
    </row>
    <row r="26" spans="2:2" ht="14" x14ac:dyDescent="0.15">
      <c r="B26" s="48"/>
    </row>
    <row r="27" spans="2:2" ht="14" x14ac:dyDescent="0.15">
      <c r="B27" s="48"/>
    </row>
    <row r="28" spans="2:2" ht="14" x14ac:dyDescent="0.15">
      <c r="B28" s="48"/>
    </row>
    <row r="29" spans="2:2" ht="14" x14ac:dyDescent="0.15">
      <c r="B29" s="48"/>
    </row>
    <row r="30" spans="2:2" ht="14" x14ac:dyDescent="0.15">
      <c r="B30" s="48"/>
    </row>
    <row r="31" spans="2:2" ht="14" x14ac:dyDescent="0.15">
      <c r="B31" s="48"/>
    </row>
    <row r="32" spans="2:2" ht="14" x14ac:dyDescent="0.15">
      <c r="B32" s="48"/>
    </row>
    <row r="33" spans="2:2" ht="14" x14ac:dyDescent="0.15">
      <c r="B33" s="48"/>
    </row>
    <row r="34" spans="2:2" ht="14" x14ac:dyDescent="0.15">
      <c r="B34" s="48"/>
    </row>
    <row r="35" spans="2:2" ht="14" x14ac:dyDescent="0.15">
      <c r="B35" s="48"/>
    </row>
    <row r="36" spans="2:2" ht="14" x14ac:dyDescent="0.15">
      <c r="B36" s="48"/>
    </row>
    <row r="37" spans="2:2" ht="14" x14ac:dyDescent="0.15">
      <c r="B37" s="48"/>
    </row>
    <row r="38" spans="2:2" ht="14" x14ac:dyDescent="0.15">
      <c r="B38" s="48"/>
    </row>
    <row r="39" spans="2:2" ht="14" x14ac:dyDescent="0.15">
      <c r="B39" s="48"/>
    </row>
    <row r="40" spans="2:2" ht="14" x14ac:dyDescent="0.15">
      <c r="B40" s="48"/>
    </row>
    <row r="41" spans="2:2" ht="14" x14ac:dyDescent="0.15">
      <c r="B41" s="48"/>
    </row>
    <row r="42" spans="2:2" ht="14" x14ac:dyDescent="0.15">
      <c r="B42" s="48"/>
    </row>
    <row r="43" spans="2:2" ht="14" x14ac:dyDescent="0.15">
      <c r="B43" s="48"/>
    </row>
    <row r="44" spans="2:2" ht="14" x14ac:dyDescent="0.15">
      <c r="B44" s="48"/>
    </row>
    <row r="45" spans="2:2" ht="14" x14ac:dyDescent="0.15">
      <c r="B45" s="48"/>
    </row>
    <row r="46" spans="2:2" ht="14" x14ac:dyDescent="0.15">
      <c r="B46" s="48"/>
    </row>
    <row r="47" spans="2:2" ht="14" x14ac:dyDescent="0.15">
      <c r="B47" s="48"/>
    </row>
    <row r="48" spans="2:2" ht="14" x14ac:dyDescent="0.15">
      <c r="B48" s="48"/>
    </row>
    <row r="49" spans="2:13" ht="14" x14ac:dyDescent="0.15">
      <c r="B49" s="48"/>
    </row>
    <row r="50" spans="2:13" ht="14" x14ac:dyDescent="0.15">
      <c r="B50" s="48"/>
      <c r="D50" s="63" t="s">
        <v>162</v>
      </c>
      <c r="E50" s="56"/>
      <c r="F50" s="56"/>
      <c r="G50" s="56"/>
      <c r="H50" s="56"/>
      <c r="I50" s="56"/>
      <c r="J50" s="56"/>
      <c r="K50" s="56"/>
      <c r="L50" s="56"/>
      <c r="M50" s="56"/>
    </row>
    <row r="51" spans="2:13" ht="20" customHeight="1" x14ac:dyDescent="0.15">
      <c r="B51" s="48"/>
      <c r="D51" s="3" t="s">
        <v>163</v>
      </c>
      <c r="E51" s="3" t="s">
        <v>164</v>
      </c>
      <c r="F51" s="3" t="s">
        <v>75</v>
      </c>
      <c r="G51" s="3" t="s">
        <v>77</v>
      </c>
      <c r="H51" s="3" t="s">
        <v>76</v>
      </c>
      <c r="I51" s="3" t="s">
        <v>122</v>
      </c>
      <c r="J51" s="3" t="s">
        <v>143</v>
      </c>
    </row>
    <row r="52" spans="2:13" ht="30" customHeight="1" x14ac:dyDescent="0.15">
      <c r="B52" s="48"/>
      <c r="D52" s="21" t="s">
        <v>165</v>
      </c>
      <c r="E52" s="4" t="s">
        <v>99</v>
      </c>
      <c r="F52" s="5">
        <v>206248.77</v>
      </c>
      <c r="G52" s="6">
        <v>706</v>
      </c>
      <c r="H52" s="6">
        <v>706</v>
      </c>
      <c r="I52" s="6">
        <v>1</v>
      </c>
      <c r="J52" s="15">
        <v>1.9335789780716331E-2</v>
      </c>
    </row>
    <row r="53" spans="2:13" ht="18" customHeight="1" x14ac:dyDescent="0.15">
      <c r="B53" s="48"/>
      <c r="D53" s="22" t="s">
        <v>166</v>
      </c>
      <c r="E53" s="8" t="s">
        <v>100</v>
      </c>
      <c r="F53" s="9">
        <v>174484.74</v>
      </c>
      <c r="G53" s="10">
        <v>13879</v>
      </c>
      <c r="H53" s="10">
        <v>1988</v>
      </c>
      <c r="I53" s="10">
        <v>881</v>
      </c>
      <c r="J53" s="18">
        <v>1.6357916959131181E-2</v>
      </c>
    </row>
    <row r="54" spans="2:13" ht="18" customHeight="1" x14ac:dyDescent="0.15">
      <c r="B54" s="48"/>
      <c r="D54" s="21" t="s">
        <v>167</v>
      </c>
      <c r="E54" s="4" t="s">
        <v>101</v>
      </c>
      <c r="F54" s="5">
        <v>168469.6</v>
      </c>
      <c r="G54" s="6">
        <v>80995</v>
      </c>
      <c r="H54" s="6">
        <v>1</v>
      </c>
      <c r="I54" s="6">
        <v>1</v>
      </c>
      <c r="J54" s="15">
        <v>1.579399852925847E-2</v>
      </c>
    </row>
    <row r="55" spans="2:13" ht="18" customHeight="1" x14ac:dyDescent="0.15">
      <c r="B55" s="48"/>
      <c r="D55" s="22" t="s">
        <v>168</v>
      </c>
      <c r="E55" s="8" t="s">
        <v>102</v>
      </c>
      <c r="F55" s="9">
        <v>104340.29</v>
      </c>
      <c r="G55" s="10">
        <v>37599</v>
      </c>
      <c r="H55" s="10">
        <v>2189</v>
      </c>
      <c r="I55" s="10">
        <v>856</v>
      </c>
      <c r="J55" s="18">
        <v>9.7818857930594121E-3</v>
      </c>
    </row>
    <row r="56" spans="2:13" ht="18" customHeight="1" x14ac:dyDescent="0.15">
      <c r="B56" s="48"/>
      <c r="D56" s="21" t="s">
        <v>169</v>
      </c>
      <c r="E56" s="4" t="s">
        <v>103</v>
      </c>
      <c r="F56" s="5">
        <v>99504.33</v>
      </c>
      <c r="G56" s="6">
        <v>18295</v>
      </c>
      <c r="H56" s="6">
        <v>1685</v>
      </c>
      <c r="I56" s="6">
        <v>708</v>
      </c>
      <c r="J56" s="15">
        <v>9.3285153029083519E-3</v>
      </c>
    </row>
    <row r="57" spans="2:13" ht="18" customHeight="1" x14ac:dyDescent="0.15">
      <c r="B57" s="48"/>
      <c r="D57" s="22" t="s">
        <v>170</v>
      </c>
      <c r="E57" s="8" t="s">
        <v>104</v>
      </c>
      <c r="F57" s="9">
        <v>94340.05</v>
      </c>
      <c r="G57" s="10">
        <v>48474</v>
      </c>
      <c r="H57" s="10">
        <v>2089</v>
      </c>
      <c r="I57" s="10">
        <v>635</v>
      </c>
      <c r="J57" s="18">
        <v>8.844364864344487E-3</v>
      </c>
    </row>
    <row r="58" spans="2:13" ht="18" customHeight="1" x14ac:dyDescent="0.15">
      <c r="B58" s="48"/>
      <c r="D58" s="21" t="s">
        <v>171</v>
      </c>
      <c r="E58" s="4" t="s">
        <v>105</v>
      </c>
      <c r="F58" s="5">
        <v>81700.920000000013</v>
      </c>
      <c r="G58" s="6">
        <v>78033</v>
      </c>
      <c r="H58" s="6">
        <v>247</v>
      </c>
      <c r="I58" s="6">
        <v>138</v>
      </c>
      <c r="J58" s="15">
        <v>7.6594484127644616E-3</v>
      </c>
    </row>
    <row r="59" spans="2:13" ht="18" customHeight="1" x14ac:dyDescent="0.15">
      <c r="B59" s="48"/>
      <c r="D59" s="22" t="s">
        <v>172</v>
      </c>
      <c r="E59" s="8" t="s">
        <v>106</v>
      </c>
      <c r="F59" s="9">
        <v>78110.27</v>
      </c>
      <c r="G59" s="10">
        <v>7224</v>
      </c>
      <c r="H59" s="10">
        <v>289</v>
      </c>
      <c r="I59" s="10">
        <v>197</v>
      </c>
      <c r="J59" s="18">
        <v>7.3228255394443961E-3</v>
      </c>
    </row>
    <row r="60" spans="2:13" ht="18" customHeight="1" x14ac:dyDescent="0.15">
      <c r="B60" s="48"/>
      <c r="D60" s="21" t="s">
        <v>173</v>
      </c>
      <c r="E60" s="4" t="s">
        <v>107</v>
      </c>
      <c r="F60" s="5">
        <v>78101.88</v>
      </c>
      <c r="G60" s="6">
        <v>3150</v>
      </c>
      <c r="H60" s="6">
        <v>1126</v>
      </c>
      <c r="I60" s="6">
        <v>331</v>
      </c>
      <c r="J60" s="15">
        <v>7.3220389782626726E-3</v>
      </c>
    </row>
    <row r="61" spans="2:13" ht="18" customHeight="1" x14ac:dyDescent="0.15">
      <c r="B61" s="48"/>
      <c r="D61" s="22" t="s">
        <v>174</v>
      </c>
      <c r="E61" s="8" t="s">
        <v>108</v>
      </c>
      <c r="F61" s="9">
        <v>66964.990000000005</v>
      </c>
      <c r="G61" s="10">
        <v>30788</v>
      </c>
      <c r="H61" s="10">
        <v>994</v>
      </c>
      <c r="I61" s="10">
        <v>450</v>
      </c>
      <c r="J61" s="18">
        <v>6.2779572906435819E-3</v>
      </c>
    </row>
    <row r="62" spans="2:13" ht="18" customHeight="1" x14ac:dyDescent="0.15">
      <c r="B62" s="48"/>
      <c r="D62" s="21" t="s">
        <v>175</v>
      </c>
      <c r="E62" s="4" t="s">
        <v>176</v>
      </c>
      <c r="F62" s="5">
        <v>64952.29</v>
      </c>
      <c r="G62" s="6">
        <v>19355</v>
      </c>
      <c r="H62" s="6">
        <v>1160</v>
      </c>
      <c r="I62" s="6">
        <v>613</v>
      </c>
      <c r="J62" s="15">
        <v>6.0892669818885387E-3</v>
      </c>
    </row>
    <row r="63" spans="2:13" ht="18" customHeight="1" x14ac:dyDescent="0.15">
      <c r="B63" s="48"/>
      <c r="D63" s="22" t="s">
        <v>177</v>
      </c>
      <c r="E63" s="8" t="s">
        <v>178</v>
      </c>
      <c r="F63" s="9">
        <v>59094.93</v>
      </c>
      <c r="G63" s="10">
        <v>36461</v>
      </c>
      <c r="H63" s="10">
        <v>1455</v>
      </c>
      <c r="I63" s="10">
        <v>678</v>
      </c>
      <c r="J63" s="18">
        <v>5.5401404022246857E-3</v>
      </c>
    </row>
    <row r="64" spans="2:13" ht="18" customHeight="1" x14ac:dyDescent="0.15">
      <c r="B64" s="48"/>
      <c r="D64" s="21" t="s">
        <v>179</v>
      </c>
      <c r="E64" s="4" t="s">
        <v>180</v>
      </c>
      <c r="F64" s="5">
        <v>54117.760000000002</v>
      </c>
      <c r="G64" s="6">
        <v>10306</v>
      </c>
      <c r="H64" s="6">
        <v>661</v>
      </c>
      <c r="I64" s="6">
        <v>205</v>
      </c>
      <c r="J64" s="15">
        <v>5.0735314967612121E-3</v>
      </c>
    </row>
    <row r="65" spans="2:10" ht="18" customHeight="1" x14ac:dyDescent="0.15">
      <c r="B65" s="48"/>
      <c r="D65" s="22" t="s">
        <v>181</v>
      </c>
      <c r="E65" s="8" t="s">
        <v>182</v>
      </c>
      <c r="F65" s="9">
        <v>42548.13</v>
      </c>
      <c r="G65" s="10">
        <v>8327</v>
      </c>
      <c r="H65" s="10">
        <v>1140</v>
      </c>
      <c r="I65" s="10">
        <v>571</v>
      </c>
      <c r="J65" s="18">
        <v>3.9888805021362789E-3</v>
      </c>
    </row>
    <row r="66" spans="2:10" ht="18" customHeight="1" x14ac:dyDescent="0.15">
      <c r="B66" s="48"/>
      <c r="D66" s="21" t="s">
        <v>183</v>
      </c>
      <c r="E66" s="4" t="s">
        <v>184</v>
      </c>
      <c r="F66" s="5">
        <v>42436.24</v>
      </c>
      <c r="G66" s="6">
        <v>21465</v>
      </c>
      <c r="H66" s="6">
        <v>1218</v>
      </c>
      <c r="I66" s="6">
        <v>372</v>
      </c>
      <c r="J66" s="15">
        <v>3.9783908322169664E-3</v>
      </c>
    </row>
    <row r="67" spans="2:10" ht="18" customHeight="1" x14ac:dyDescent="0.15">
      <c r="B67" s="48"/>
      <c r="D67" s="22" t="s">
        <v>185</v>
      </c>
      <c r="E67" s="8" t="s">
        <v>186</v>
      </c>
      <c r="F67" s="9">
        <v>40652.129999999997</v>
      </c>
      <c r="G67" s="10">
        <v>11656</v>
      </c>
      <c r="H67" s="10">
        <v>375</v>
      </c>
      <c r="I67" s="10">
        <v>140</v>
      </c>
      <c r="J67" s="18">
        <v>3.8111308000447789E-3</v>
      </c>
    </row>
    <row r="68" spans="2:10" ht="18" customHeight="1" x14ac:dyDescent="0.15">
      <c r="B68" s="48"/>
      <c r="D68" s="21" t="s">
        <v>187</v>
      </c>
      <c r="E68" s="4" t="s">
        <v>188</v>
      </c>
      <c r="F68" s="5">
        <v>39619.5</v>
      </c>
      <c r="G68" s="6">
        <v>61</v>
      </c>
      <c r="H68" s="6">
        <v>2</v>
      </c>
      <c r="I68" s="6">
        <v>1</v>
      </c>
      <c r="J68" s="15">
        <v>3.714321899796496E-3</v>
      </c>
    </row>
    <row r="69" spans="2:10" ht="18" customHeight="1" x14ac:dyDescent="0.15">
      <c r="B69" s="48"/>
      <c r="D69" s="22" t="s">
        <v>189</v>
      </c>
      <c r="E69" s="8" t="s">
        <v>190</v>
      </c>
      <c r="F69" s="9">
        <v>38166.639999999999</v>
      </c>
      <c r="G69" s="10">
        <v>5491</v>
      </c>
      <c r="H69" s="10">
        <v>728</v>
      </c>
      <c r="I69" s="10">
        <v>378</v>
      </c>
      <c r="J69" s="18">
        <v>3.578116503076741E-3</v>
      </c>
    </row>
    <row r="70" spans="2:10" ht="18" customHeight="1" x14ac:dyDescent="0.15">
      <c r="B70" s="48"/>
      <c r="D70" s="21" t="s">
        <v>191</v>
      </c>
      <c r="E70" s="4" t="s">
        <v>192</v>
      </c>
      <c r="F70" s="5">
        <v>38158.39</v>
      </c>
      <c r="G70" s="6">
        <v>7493</v>
      </c>
      <c r="H70" s="6">
        <v>1385</v>
      </c>
      <c r="I70" s="6">
        <v>640</v>
      </c>
      <c r="J70" s="15">
        <v>3.5773430668730199E-3</v>
      </c>
    </row>
    <row r="71" spans="2:10" ht="18" customHeight="1" x14ac:dyDescent="0.15">
      <c r="B71" s="48"/>
      <c r="D71" s="22" t="s">
        <v>193</v>
      </c>
      <c r="E71" s="8" t="s">
        <v>194</v>
      </c>
      <c r="F71" s="9">
        <v>37128.879999999997</v>
      </c>
      <c r="G71" s="10">
        <v>8706</v>
      </c>
      <c r="H71" s="10">
        <v>1132</v>
      </c>
      <c r="I71" s="10">
        <v>573</v>
      </c>
      <c r="J71" s="18">
        <v>3.480826666134508E-3</v>
      </c>
    </row>
    <row r="72" spans="2:10" ht="18" customHeight="1" x14ac:dyDescent="0.15">
      <c r="B72" s="48"/>
      <c r="D72" s="21" t="s">
        <v>195</v>
      </c>
      <c r="E72" s="4" t="s">
        <v>196</v>
      </c>
      <c r="F72" s="5">
        <v>36030.22</v>
      </c>
      <c r="G72" s="6">
        <v>6020</v>
      </c>
      <c r="H72" s="6">
        <v>685</v>
      </c>
      <c r="I72" s="6">
        <v>285</v>
      </c>
      <c r="J72" s="15">
        <v>3.3778274637611709E-3</v>
      </c>
    </row>
    <row r="73" spans="2:10" ht="18" customHeight="1" x14ac:dyDescent="0.15">
      <c r="B73" s="48"/>
      <c r="D73" s="22" t="s">
        <v>197</v>
      </c>
      <c r="E73" s="8" t="s">
        <v>198</v>
      </c>
      <c r="F73" s="9">
        <v>35752.01</v>
      </c>
      <c r="G73" s="10">
        <v>19353</v>
      </c>
      <c r="H73" s="10">
        <v>1564</v>
      </c>
      <c r="I73" s="10">
        <v>532</v>
      </c>
      <c r="J73" s="18">
        <v>3.3517453199748441E-3</v>
      </c>
    </row>
    <row r="74" spans="2:10" ht="18" customHeight="1" x14ac:dyDescent="0.15">
      <c r="B74" s="48"/>
      <c r="D74" s="21" t="s">
        <v>199</v>
      </c>
      <c r="E74" s="4" t="s">
        <v>200</v>
      </c>
      <c r="F74" s="5">
        <v>34298.870000000003</v>
      </c>
      <c r="G74" s="6">
        <v>36761</v>
      </c>
      <c r="H74" s="6">
        <v>803</v>
      </c>
      <c r="I74" s="6">
        <v>295</v>
      </c>
      <c r="J74" s="15">
        <v>3.2155136732990842E-3</v>
      </c>
    </row>
    <row r="75" spans="2:10" ht="18" customHeight="1" x14ac:dyDescent="0.15">
      <c r="B75" s="48"/>
      <c r="D75" s="22" t="s">
        <v>201</v>
      </c>
      <c r="E75" s="8" t="s">
        <v>202</v>
      </c>
      <c r="F75" s="9">
        <v>33187.97</v>
      </c>
      <c r="G75" s="10">
        <v>24304</v>
      </c>
      <c r="H75" s="10">
        <v>1037</v>
      </c>
      <c r="I75" s="10">
        <v>403</v>
      </c>
      <c r="J75" s="18">
        <v>3.1113669728489541E-3</v>
      </c>
    </row>
    <row r="76" spans="2:10" ht="18" customHeight="1" x14ac:dyDescent="0.15">
      <c r="B76" s="48"/>
      <c r="D76" s="21" t="s">
        <v>203</v>
      </c>
      <c r="E76" s="4" t="s">
        <v>204</v>
      </c>
      <c r="F76" s="5">
        <v>33002.589999999997</v>
      </c>
      <c r="G76" s="6">
        <v>5747</v>
      </c>
      <c r="H76" s="6">
        <v>643</v>
      </c>
      <c r="I76" s="6">
        <v>325</v>
      </c>
      <c r="J76" s="15">
        <v>3.0939876269767382E-3</v>
      </c>
    </row>
    <row r="77" spans="2:10" ht="18" customHeight="1" x14ac:dyDescent="0.15">
      <c r="B77" s="48"/>
      <c r="D77" s="22" t="s">
        <v>205</v>
      </c>
      <c r="E77" s="8" t="s">
        <v>206</v>
      </c>
      <c r="F77" s="9">
        <v>32873.339999999997</v>
      </c>
      <c r="G77" s="10">
        <v>10604</v>
      </c>
      <c r="H77" s="10">
        <v>820</v>
      </c>
      <c r="I77" s="10">
        <v>470</v>
      </c>
      <c r="J77" s="18">
        <v>3.0818704597851102E-3</v>
      </c>
    </row>
    <row r="78" spans="2:10" ht="18" customHeight="1" x14ac:dyDescent="0.15">
      <c r="B78" s="48"/>
      <c r="D78" s="21" t="s">
        <v>207</v>
      </c>
      <c r="E78" s="4" t="s">
        <v>208</v>
      </c>
      <c r="F78" s="5">
        <v>32866.18</v>
      </c>
      <c r="G78" s="6">
        <v>6025</v>
      </c>
      <c r="H78" s="6">
        <v>858</v>
      </c>
      <c r="I78" s="6">
        <v>382</v>
      </c>
      <c r="J78" s="15">
        <v>3.081199210910122E-3</v>
      </c>
    </row>
    <row r="79" spans="2:10" ht="18" customHeight="1" x14ac:dyDescent="0.15">
      <c r="B79" s="48"/>
      <c r="D79" s="22" t="s">
        <v>209</v>
      </c>
      <c r="E79" s="8" t="s">
        <v>210</v>
      </c>
      <c r="F79" s="9">
        <v>32570.47</v>
      </c>
      <c r="G79" s="10">
        <v>17273</v>
      </c>
      <c r="H79" s="10">
        <v>812</v>
      </c>
      <c r="I79" s="10">
        <v>315</v>
      </c>
      <c r="J79" s="18">
        <v>3.053476444873479E-3</v>
      </c>
    </row>
    <row r="80" spans="2:10" ht="18" customHeight="1" x14ac:dyDescent="0.15">
      <c r="B80" s="48"/>
      <c r="D80" s="21" t="s">
        <v>211</v>
      </c>
      <c r="E80" s="4" t="s">
        <v>212</v>
      </c>
      <c r="F80" s="5">
        <v>32107.8</v>
      </c>
      <c r="G80" s="6">
        <v>17971</v>
      </c>
      <c r="H80" s="6">
        <v>1201</v>
      </c>
      <c r="I80" s="6">
        <v>573</v>
      </c>
      <c r="J80" s="15">
        <v>3.0101012050703798E-3</v>
      </c>
    </row>
    <row r="81" spans="2:10" ht="18" customHeight="1" x14ac:dyDescent="0.15">
      <c r="B81" s="48"/>
      <c r="D81" s="22" t="s">
        <v>213</v>
      </c>
      <c r="E81" s="8" t="s">
        <v>214</v>
      </c>
      <c r="F81" s="9">
        <v>31177.95</v>
      </c>
      <c r="G81" s="10">
        <v>6357</v>
      </c>
      <c r="H81" s="10">
        <v>873</v>
      </c>
      <c r="I81" s="10">
        <v>472</v>
      </c>
      <c r="J81" s="18">
        <v>2.9229279136728172E-3</v>
      </c>
    </row>
    <row r="82" spans="2:10" ht="18" customHeight="1" x14ac:dyDescent="0.15">
      <c r="B82" s="48"/>
      <c r="D82" s="21" t="s">
        <v>215</v>
      </c>
      <c r="E82" s="4" t="s">
        <v>216</v>
      </c>
      <c r="F82" s="5">
        <v>30770.12</v>
      </c>
      <c r="G82" s="6">
        <v>13654</v>
      </c>
      <c r="H82" s="6">
        <v>1184</v>
      </c>
      <c r="I82" s="6">
        <v>333</v>
      </c>
      <c r="J82" s="15">
        <v>2.8846939152529982E-3</v>
      </c>
    </row>
    <row r="83" spans="2:10" ht="18" customHeight="1" x14ac:dyDescent="0.15">
      <c r="B83" s="48"/>
      <c r="D83" s="22" t="s">
        <v>217</v>
      </c>
      <c r="E83" s="8" t="s">
        <v>218</v>
      </c>
      <c r="F83" s="9">
        <v>30701.119999999999</v>
      </c>
      <c r="G83" s="10">
        <v>7815</v>
      </c>
      <c r="H83" s="10">
        <v>1051</v>
      </c>
      <c r="I83" s="10">
        <v>388</v>
      </c>
      <c r="J83" s="18">
        <v>2.8782251760946049E-3</v>
      </c>
    </row>
    <row r="84" spans="2:10" ht="18" customHeight="1" x14ac:dyDescent="0.15">
      <c r="B84" s="48"/>
      <c r="D84" s="21" t="s">
        <v>219</v>
      </c>
      <c r="E84" s="4" t="s">
        <v>220</v>
      </c>
      <c r="F84" s="5">
        <v>30475.65</v>
      </c>
      <c r="G84" s="6">
        <v>14920</v>
      </c>
      <c r="H84" s="6">
        <v>978</v>
      </c>
      <c r="I84" s="6">
        <v>344</v>
      </c>
      <c r="J84" s="15">
        <v>2.8570873990215189E-3</v>
      </c>
    </row>
    <row r="85" spans="2:10" ht="18" customHeight="1" x14ac:dyDescent="0.15">
      <c r="B85" s="48"/>
      <c r="D85" s="22" t="s">
        <v>221</v>
      </c>
      <c r="E85" s="8" t="s">
        <v>222</v>
      </c>
      <c r="F85" s="9">
        <v>30139.41</v>
      </c>
      <c r="G85" s="10">
        <v>9901</v>
      </c>
      <c r="H85" s="10">
        <v>925</v>
      </c>
      <c r="I85" s="10">
        <v>485</v>
      </c>
      <c r="J85" s="18">
        <v>2.825564951853141E-3</v>
      </c>
    </row>
    <row r="86" spans="2:10" ht="18" customHeight="1" x14ac:dyDescent="0.15">
      <c r="B86" s="48"/>
      <c r="D86" s="21" t="s">
        <v>223</v>
      </c>
      <c r="E86" s="4" t="s">
        <v>224</v>
      </c>
      <c r="F86" s="5">
        <v>29277.95</v>
      </c>
      <c r="G86" s="6">
        <v>18152</v>
      </c>
      <c r="H86" s="6">
        <v>882</v>
      </c>
      <c r="I86" s="6">
        <v>249</v>
      </c>
      <c r="J86" s="15">
        <v>2.7448032122098171E-3</v>
      </c>
    </row>
    <row r="87" spans="2:10" ht="18" customHeight="1" x14ac:dyDescent="0.15">
      <c r="B87" s="48"/>
      <c r="D87" s="22" t="s">
        <v>225</v>
      </c>
      <c r="E87" s="8" t="s">
        <v>226</v>
      </c>
      <c r="F87" s="9">
        <v>29095.27</v>
      </c>
      <c r="G87" s="10">
        <v>9877</v>
      </c>
      <c r="H87" s="10">
        <v>1065</v>
      </c>
      <c r="I87" s="10">
        <v>423</v>
      </c>
      <c r="J87" s="18">
        <v>2.7276769909133631E-3</v>
      </c>
    </row>
    <row r="88" spans="2:10" ht="18" customHeight="1" x14ac:dyDescent="0.15">
      <c r="B88" s="48"/>
      <c r="D88" s="21" t="s">
        <v>227</v>
      </c>
      <c r="E88" s="4" t="s">
        <v>228</v>
      </c>
      <c r="F88" s="5">
        <v>28842.55</v>
      </c>
      <c r="G88" s="6">
        <v>5841</v>
      </c>
      <c r="H88" s="6">
        <v>782</v>
      </c>
      <c r="I88" s="6">
        <v>474</v>
      </c>
      <c r="J88" s="15">
        <v>2.703984530621927E-3</v>
      </c>
    </row>
    <row r="89" spans="2:10" ht="18" customHeight="1" x14ac:dyDescent="0.15">
      <c r="B89" s="48"/>
      <c r="D89" s="22" t="s">
        <v>229</v>
      </c>
      <c r="E89" s="8" t="s">
        <v>230</v>
      </c>
      <c r="F89" s="9">
        <v>28634.95</v>
      </c>
      <c r="G89" s="10">
        <v>12602</v>
      </c>
      <c r="H89" s="10">
        <v>1175</v>
      </c>
      <c r="I89" s="10">
        <v>375</v>
      </c>
      <c r="J89" s="18">
        <v>2.6845220632410222E-3</v>
      </c>
    </row>
    <row r="90" spans="2:10" ht="18" customHeight="1" x14ac:dyDescent="0.15">
      <c r="B90" s="48"/>
      <c r="D90" s="21" t="s">
        <v>231</v>
      </c>
      <c r="E90" s="4" t="s">
        <v>232</v>
      </c>
      <c r="F90" s="5">
        <v>28147.96</v>
      </c>
      <c r="G90" s="6">
        <v>9172</v>
      </c>
      <c r="H90" s="6">
        <v>1249</v>
      </c>
      <c r="I90" s="6">
        <v>587</v>
      </c>
      <c r="J90" s="15">
        <v>2.6388668272591979E-3</v>
      </c>
    </row>
    <row r="91" spans="2:10" ht="18" customHeight="1" x14ac:dyDescent="0.15">
      <c r="B91" s="48"/>
      <c r="D91" s="22" t="s">
        <v>233</v>
      </c>
      <c r="E91" s="8" t="s">
        <v>234</v>
      </c>
      <c r="F91" s="9">
        <v>28092.2</v>
      </c>
      <c r="G91" s="10">
        <v>13922</v>
      </c>
      <c r="H91" s="10">
        <v>933</v>
      </c>
      <c r="I91" s="10">
        <v>306</v>
      </c>
      <c r="J91" s="18">
        <v>2.6336393360204729E-3</v>
      </c>
    </row>
    <row r="92" spans="2:10" ht="18" customHeight="1" x14ac:dyDescent="0.15">
      <c r="B92" s="48"/>
      <c r="D92" s="21" t="s">
        <v>235</v>
      </c>
      <c r="E92" s="4" t="s">
        <v>236</v>
      </c>
      <c r="F92" s="5">
        <v>28082.54</v>
      </c>
      <c r="G92" s="6">
        <v>4092</v>
      </c>
      <c r="H92" s="6">
        <v>696</v>
      </c>
      <c r="I92" s="6">
        <v>329</v>
      </c>
      <c r="J92" s="15">
        <v>2.6327337125382978E-3</v>
      </c>
    </row>
    <row r="93" spans="2:10" ht="18" customHeight="1" x14ac:dyDescent="0.15">
      <c r="B93" s="48"/>
      <c r="D93" s="22" t="s">
        <v>237</v>
      </c>
      <c r="E93" s="8" t="s">
        <v>238</v>
      </c>
      <c r="F93" s="9">
        <v>27890.17</v>
      </c>
      <c r="G93" s="10">
        <v>13379</v>
      </c>
      <c r="H93" s="10">
        <v>906</v>
      </c>
      <c r="I93" s="10">
        <v>396</v>
      </c>
      <c r="J93" s="18">
        <v>2.6146990552643841E-3</v>
      </c>
    </row>
    <row r="94" spans="2:10" ht="18" customHeight="1" x14ac:dyDescent="0.15">
      <c r="B94" s="48"/>
      <c r="D94" s="21" t="s">
        <v>239</v>
      </c>
      <c r="E94" s="4" t="s">
        <v>240</v>
      </c>
      <c r="F94" s="5">
        <v>27196.53</v>
      </c>
      <c r="G94" s="6">
        <v>6430</v>
      </c>
      <c r="H94" s="6">
        <v>980</v>
      </c>
      <c r="I94" s="6">
        <v>322</v>
      </c>
      <c r="J94" s="15">
        <v>2.5496704142523858E-3</v>
      </c>
    </row>
    <row r="95" spans="2:10" ht="18" customHeight="1" x14ac:dyDescent="0.15">
      <c r="B95" s="48"/>
      <c r="D95" s="22" t="s">
        <v>241</v>
      </c>
      <c r="E95" s="8" t="s">
        <v>242</v>
      </c>
      <c r="F95" s="9">
        <v>26463.83</v>
      </c>
      <c r="G95" s="10">
        <v>9476</v>
      </c>
      <c r="H95" s="10">
        <v>449</v>
      </c>
      <c r="I95" s="10">
        <v>192</v>
      </c>
      <c r="J95" s="18">
        <v>2.4809799043776799E-3</v>
      </c>
    </row>
    <row r="96" spans="2:10" ht="18" customHeight="1" x14ac:dyDescent="0.15">
      <c r="B96" s="48"/>
      <c r="D96" s="21" t="s">
        <v>243</v>
      </c>
      <c r="E96" s="4" t="s">
        <v>244</v>
      </c>
      <c r="F96" s="5">
        <v>26331.58</v>
      </c>
      <c r="G96" s="6">
        <v>21933</v>
      </c>
      <c r="H96" s="6">
        <v>661</v>
      </c>
      <c r="I96" s="6">
        <v>349</v>
      </c>
      <c r="J96" s="15">
        <v>2.4685814876574271E-3</v>
      </c>
    </row>
    <row r="97" spans="2:10" ht="18" customHeight="1" x14ac:dyDescent="0.15">
      <c r="B97" s="48"/>
      <c r="D97" s="22" t="s">
        <v>245</v>
      </c>
      <c r="E97" s="8" t="s">
        <v>246</v>
      </c>
      <c r="F97" s="9">
        <v>26240.6</v>
      </c>
      <c r="G97" s="10">
        <v>8276</v>
      </c>
      <c r="H97" s="10">
        <v>1111</v>
      </c>
      <c r="I97" s="10">
        <v>471</v>
      </c>
      <c r="J97" s="18">
        <v>2.4600521269526349E-3</v>
      </c>
    </row>
    <row r="98" spans="2:10" ht="18" customHeight="1" x14ac:dyDescent="0.15">
      <c r="B98" s="48"/>
      <c r="D98" s="21" t="s">
        <v>247</v>
      </c>
      <c r="E98" s="4" t="s">
        <v>248</v>
      </c>
      <c r="F98" s="5">
        <v>25836.57</v>
      </c>
      <c r="G98" s="6">
        <v>11727</v>
      </c>
      <c r="H98" s="6">
        <v>759</v>
      </c>
      <c r="I98" s="6">
        <v>330</v>
      </c>
      <c r="J98" s="15">
        <v>2.4221743779357431E-3</v>
      </c>
    </row>
    <row r="99" spans="2:10" ht="18" customHeight="1" x14ac:dyDescent="0.15">
      <c r="B99" s="48"/>
      <c r="D99" s="22" t="s">
        <v>249</v>
      </c>
      <c r="E99" s="8" t="s">
        <v>250</v>
      </c>
      <c r="F99" s="9">
        <v>25740.47</v>
      </c>
      <c r="G99" s="10">
        <v>14260</v>
      </c>
      <c r="H99" s="10">
        <v>900</v>
      </c>
      <c r="I99" s="10">
        <v>322</v>
      </c>
      <c r="J99" s="18">
        <v>2.41316501803543E-3</v>
      </c>
    </row>
    <row r="100" spans="2:10" ht="18" customHeight="1" x14ac:dyDescent="0.15">
      <c r="B100" s="48"/>
      <c r="D100" s="21" t="s">
        <v>251</v>
      </c>
      <c r="E100" s="4" t="s">
        <v>252</v>
      </c>
      <c r="F100" s="5">
        <v>25660.98</v>
      </c>
      <c r="G100" s="6">
        <v>16412</v>
      </c>
      <c r="H100" s="6">
        <v>1162</v>
      </c>
      <c r="I100" s="6">
        <v>537</v>
      </c>
      <c r="J100" s="15">
        <v>2.405712843025275E-3</v>
      </c>
    </row>
    <row r="101" spans="2:10" ht="18" customHeight="1" x14ac:dyDescent="0.15">
      <c r="B101" s="48"/>
      <c r="D101" s="22" t="s">
        <v>253</v>
      </c>
      <c r="E101" s="8" t="s">
        <v>254</v>
      </c>
      <c r="F101" s="9">
        <v>25609.599999999999</v>
      </c>
      <c r="G101" s="10">
        <v>3762</v>
      </c>
      <c r="H101" s="10">
        <v>616</v>
      </c>
      <c r="I101" s="10">
        <v>313</v>
      </c>
      <c r="J101" s="18">
        <v>2.4008959760983442E-3</v>
      </c>
    </row>
    <row r="102" spans="2:10" ht="18" customHeight="1" x14ac:dyDescent="0.15">
      <c r="B102" s="48"/>
      <c r="D102" s="21" t="s">
        <v>255</v>
      </c>
      <c r="E102" s="4" t="s">
        <v>256</v>
      </c>
      <c r="F102" s="5">
        <v>25290.58</v>
      </c>
      <c r="G102" s="6">
        <v>12305</v>
      </c>
      <c r="H102" s="6">
        <v>845</v>
      </c>
      <c r="I102" s="6">
        <v>361</v>
      </c>
      <c r="J102" s="15">
        <v>2.3709879012242781E-3</v>
      </c>
    </row>
    <row r="103" spans="2:10" ht="18" customHeight="1" x14ac:dyDescent="0.15">
      <c r="B103" s="48"/>
      <c r="D103" s="22" t="s">
        <v>257</v>
      </c>
      <c r="E103" s="8" t="s">
        <v>258</v>
      </c>
      <c r="F103" s="9">
        <v>24918.93</v>
      </c>
      <c r="G103" s="10">
        <v>2770</v>
      </c>
      <c r="H103" s="10">
        <v>416</v>
      </c>
      <c r="I103" s="10">
        <v>248</v>
      </c>
      <c r="J103" s="18">
        <v>2.3361457721196859E-3</v>
      </c>
    </row>
    <row r="104" spans="2:10" ht="18" customHeight="1" x14ac:dyDescent="0.15">
      <c r="B104" s="48"/>
      <c r="D104" s="21" t="s">
        <v>259</v>
      </c>
      <c r="E104" s="4" t="s">
        <v>260</v>
      </c>
      <c r="F104" s="5">
        <v>24542.83</v>
      </c>
      <c r="G104" s="6">
        <v>2789</v>
      </c>
      <c r="H104" s="6">
        <v>475</v>
      </c>
      <c r="I104" s="6">
        <v>267</v>
      </c>
      <c r="J104" s="15">
        <v>2.3008864562143001E-3</v>
      </c>
    </row>
    <row r="105" spans="2:10" ht="18" customHeight="1" x14ac:dyDescent="0.15">
      <c r="B105" s="48"/>
      <c r="D105" s="22" t="s">
        <v>261</v>
      </c>
      <c r="E105" s="8" t="s">
        <v>262</v>
      </c>
      <c r="F105" s="9">
        <v>24522.36</v>
      </c>
      <c r="G105" s="10">
        <v>11464</v>
      </c>
      <c r="H105" s="10">
        <v>711</v>
      </c>
      <c r="I105" s="10">
        <v>363</v>
      </c>
      <c r="J105" s="18">
        <v>2.2989673969306432E-3</v>
      </c>
    </row>
    <row r="106" spans="2:10" ht="18" customHeight="1" x14ac:dyDescent="0.15">
      <c r="B106" s="48"/>
      <c r="D106" s="21" t="s">
        <v>263</v>
      </c>
      <c r="E106" s="4" t="s">
        <v>264</v>
      </c>
      <c r="F106" s="5">
        <v>24509.84</v>
      </c>
      <c r="G106" s="6">
        <v>4666</v>
      </c>
      <c r="H106" s="6">
        <v>771</v>
      </c>
      <c r="I106" s="6">
        <v>425</v>
      </c>
      <c r="J106" s="15">
        <v>2.297793648897845E-3</v>
      </c>
    </row>
    <row r="107" spans="2:10" ht="18" customHeight="1" x14ac:dyDescent="0.15">
      <c r="B107" s="48"/>
      <c r="D107" s="22" t="s">
        <v>265</v>
      </c>
      <c r="E107" s="8" t="s">
        <v>266</v>
      </c>
      <c r="F107" s="9">
        <v>24483.66</v>
      </c>
      <c r="G107" s="10">
        <v>5978</v>
      </c>
      <c r="H107" s="10">
        <v>834</v>
      </c>
      <c r="I107" s="10">
        <v>393</v>
      </c>
      <c r="J107" s="18">
        <v>2.29533927801137E-3</v>
      </c>
    </row>
    <row r="108" spans="2:10" ht="18" customHeight="1" x14ac:dyDescent="0.15">
      <c r="B108" s="48"/>
      <c r="D108" s="21" t="s">
        <v>267</v>
      </c>
      <c r="E108" s="4" t="s">
        <v>268</v>
      </c>
      <c r="F108" s="5">
        <v>24438.62</v>
      </c>
      <c r="G108" s="6">
        <v>8560</v>
      </c>
      <c r="H108" s="6">
        <v>732</v>
      </c>
      <c r="I108" s="6">
        <v>281</v>
      </c>
      <c r="J108" s="15">
        <v>2.291116785088268E-3</v>
      </c>
    </row>
    <row r="109" spans="2:10" ht="18" customHeight="1" x14ac:dyDescent="0.15">
      <c r="B109" s="48"/>
      <c r="D109" s="22" t="s">
        <v>269</v>
      </c>
      <c r="E109" s="8" t="s">
        <v>270</v>
      </c>
      <c r="F109" s="9">
        <v>24292.84</v>
      </c>
      <c r="G109" s="10">
        <v>3830</v>
      </c>
      <c r="H109" s="10">
        <v>600</v>
      </c>
      <c r="I109" s="10">
        <v>314</v>
      </c>
      <c r="J109" s="18">
        <v>2.277449932993913E-3</v>
      </c>
    </row>
    <row r="110" spans="2:10" ht="18" customHeight="1" x14ac:dyDescent="0.15">
      <c r="B110" s="48"/>
      <c r="D110" s="21" t="s">
        <v>271</v>
      </c>
      <c r="E110" s="4" t="s">
        <v>272</v>
      </c>
      <c r="F110" s="5">
        <v>24239.72</v>
      </c>
      <c r="G110" s="6">
        <v>4948</v>
      </c>
      <c r="H110" s="6">
        <v>934</v>
      </c>
      <c r="I110" s="6">
        <v>581</v>
      </c>
      <c r="J110" s="15">
        <v>2.272469941340379E-3</v>
      </c>
    </row>
    <row r="111" spans="2:10" ht="18" customHeight="1" x14ac:dyDescent="0.15">
      <c r="B111" s="48"/>
      <c r="D111" s="22" t="s">
        <v>273</v>
      </c>
      <c r="E111" s="8" t="s">
        <v>274</v>
      </c>
      <c r="F111" s="9">
        <v>23932.98</v>
      </c>
      <c r="G111" s="10">
        <v>14009</v>
      </c>
      <c r="H111" s="10">
        <v>849</v>
      </c>
      <c r="I111" s="10">
        <v>266</v>
      </c>
      <c r="J111" s="18">
        <v>2.2437131145368202E-3</v>
      </c>
    </row>
    <row r="112" spans="2:10" ht="18" customHeight="1" x14ac:dyDescent="0.15">
      <c r="B112" s="48"/>
      <c r="D112" s="21" t="s">
        <v>275</v>
      </c>
      <c r="E112" s="4" t="s">
        <v>276</v>
      </c>
      <c r="F112" s="5">
        <v>23888.81</v>
      </c>
      <c r="G112" s="6">
        <v>3617</v>
      </c>
      <c r="H112" s="6">
        <v>365</v>
      </c>
      <c r="I112" s="6">
        <v>143</v>
      </c>
      <c r="J112" s="15">
        <v>2.2395721839770198E-3</v>
      </c>
    </row>
    <row r="113" spans="2:10" ht="18" customHeight="1" x14ac:dyDescent="0.15">
      <c r="B113" s="48"/>
      <c r="D113" s="22" t="s">
        <v>277</v>
      </c>
      <c r="E113" s="8" t="s">
        <v>278</v>
      </c>
      <c r="F113" s="9">
        <v>23815.75</v>
      </c>
      <c r="G113" s="10">
        <v>10306</v>
      </c>
      <c r="H113" s="10">
        <v>716</v>
      </c>
      <c r="I113" s="10">
        <v>391</v>
      </c>
      <c r="J113" s="18">
        <v>2.2327228204565529E-3</v>
      </c>
    </row>
    <row r="114" spans="2:10" ht="18" customHeight="1" x14ac:dyDescent="0.15">
      <c r="B114" s="48"/>
      <c r="D114" s="21" t="s">
        <v>279</v>
      </c>
      <c r="E114" s="4" t="s">
        <v>280</v>
      </c>
      <c r="F114" s="5">
        <v>23514.17</v>
      </c>
      <c r="G114" s="6">
        <v>4805</v>
      </c>
      <c r="H114" s="6">
        <v>470</v>
      </c>
      <c r="I114" s="6">
        <v>275</v>
      </c>
      <c r="J114" s="15">
        <v>2.2044497428422311E-3</v>
      </c>
    </row>
    <row r="115" spans="2:10" ht="18" customHeight="1" x14ac:dyDescent="0.15">
      <c r="B115" s="48"/>
      <c r="D115" s="22" t="s">
        <v>281</v>
      </c>
      <c r="E115" s="8" t="s">
        <v>282</v>
      </c>
      <c r="F115" s="9">
        <v>23463.47</v>
      </c>
      <c r="G115" s="10">
        <v>8291</v>
      </c>
      <c r="H115" s="10">
        <v>524</v>
      </c>
      <c r="I115" s="10">
        <v>274</v>
      </c>
      <c r="J115" s="18">
        <v>2.1996966258084551E-3</v>
      </c>
    </row>
    <row r="116" spans="2:10" ht="18" customHeight="1" x14ac:dyDescent="0.15">
      <c r="B116" s="48"/>
      <c r="D116" s="21" t="s">
        <v>283</v>
      </c>
      <c r="E116" s="4" t="s">
        <v>284</v>
      </c>
      <c r="F116" s="5">
        <v>23228.74</v>
      </c>
      <c r="G116" s="6">
        <v>7882</v>
      </c>
      <c r="H116" s="6">
        <v>741</v>
      </c>
      <c r="I116" s="6">
        <v>385</v>
      </c>
      <c r="J116" s="15">
        <v>2.1776907251903452E-3</v>
      </c>
    </row>
    <row r="117" spans="2:10" ht="18" customHeight="1" x14ac:dyDescent="0.15">
      <c r="B117" s="48"/>
      <c r="D117" s="22" t="s">
        <v>285</v>
      </c>
      <c r="E117" s="8" t="s">
        <v>286</v>
      </c>
      <c r="F117" s="9">
        <v>23181.14</v>
      </c>
      <c r="G117" s="10">
        <v>11007</v>
      </c>
      <c r="H117" s="10">
        <v>865</v>
      </c>
      <c r="I117" s="10">
        <v>308</v>
      </c>
      <c r="J117" s="18">
        <v>2.1732282326694819E-3</v>
      </c>
    </row>
    <row r="118" spans="2:10" ht="18" customHeight="1" x14ac:dyDescent="0.15">
      <c r="B118" s="48"/>
      <c r="D118" s="21" t="s">
        <v>287</v>
      </c>
      <c r="E118" s="4" t="s">
        <v>288</v>
      </c>
      <c r="F118" s="5">
        <v>23113.26</v>
      </c>
      <c r="G118" s="6">
        <v>9006</v>
      </c>
      <c r="H118" s="6">
        <v>1100</v>
      </c>
      <c r="I118" s="6">
        <v>410</v>
      </c>
      <c r="J118" s="15">
        <v>2.166864493335109E-3</v>
      </c>
    </row>
    <row r="119" spans="2:10" ht="18" customHeight="1" x14ac:dyDescent="0.15">
      <c r="B119" s="48"/>
      <c r="D119" s="22" t="s">
        <v>289</v>
      </c>
      <c r="E119" s="8" t="s">
        <v>290</v>
      </c>
      <c r="F119" s="9">
        <v>23030.959999999999</v>
      </c>
      <c r="G119" s="10">
        <v>11444</v>
      </c>
      <c r="H119" s="10">
        <v>657</v>
      </c>
      <c r="I119" s="10">
        <v>207</v>
      </c>
      <c r="J119" s="18">
        <v>2.1591488812664752E-3</v>
      </c>
    </row>
    <row r="120" spans="2:10" ht="18" customHeight="1" x14ac:dyDescent="0.15">
      <c r="B120" s="48"/>
      <c r="D120" s="21" t="s">
        <v>291</v>
      </c>
      <c r="E120" s="4" t="s">
        <v>292</v>
      </c>
      <c r="F120" s="5">
        <v>23010.09</v>
      </c>
      <c r="G120" s="6">
        <v>3272</v>
      </c>
      <c r="H120" s="6">
        <v>221</v>
      </c>
      <c r="I120" s="6">
        <v>139</v>
      </c>
      <c r="J120" s="15">
        <v>2.157192322045668E-3</v>
      </c>
    </row>
    <row r="121" spans="2:10" ht="18" customHeight="1" x14ac:dyDescent="0.15">
      <c r="B121" s="48"/>
      <c r="D121" s="22" t="s">
        <v>293</v>
      </c>
      <c r="E121" s="8" t="s">
        <v>294</v>
      </c>
      <c r="F121" s="9">
        <v>22912.81</v>
      </c>
      <c r="G121" s="10">
        <v>4527</v>
      </c>
      <c r="H121" s="10">
        <v>962</v>
      </c>
      <c r="I121" s="10">
        <v>488</v>
      </c>
      <c r="J121" s="18">
        <v>2.1480723373307632E-3</v>
      </c>
    </row>
    <row r="122" spans="2:10" ht="18" customHeight="1" x14ac:dyDescent="0.15">
      <c r="B122" s="48"/>
      <c r="D122" s="21" t="s">
        <v>295</v>
      </c>
      <c r="E122" s="4" t="s">
        <v>296</v>
      </c>
      <c r="F122" s="5">
        <v>22826.3</v>
      </c>
      <c r="G122" s="6">
        <v>7302</v>
      </c>
      <c r="H122" s="6">
        <v>1013</v>
      </c>
      <c r="I122" s="6">
        <v>387</v>
      </c>
      <c r="J122" s="15">
        <v>2.1399620384236241E-3</v>
      </c>
    </row>
    <row r="123" spans="2:10" ht="18" customHeight="1" x14ac:dyDescent="0.15">
      <c r="B123" s="48"/>
      <c r="D123" s="22" t="s">
        <v>297</v>
      </c>
      <c r="E123" s="8" t="s">
        <v>298</v>
      </c>
      <c r="F123" s="9">
        <v>22790.959999999999</v>
      </c>
      <c r="G123" s="10">
        <v>7564</v>
      </c>
      <c r="H123" s="10">
        <v>798</v>
      </c>
      <c r="I123" s="10">
        <v>325</v>
      </c>
      <c r="J123" s="18">
        <v>2.136648918976412E-3</v>
      </c>
    </row>
    <row r="124" spans="2:10" ht="18" customHeight="1" x14ac:dyDescent="0.15">
      <c r="B124" s="48"/>
      <c r="D124" s="21" t="s">
        <v>299</v>
      </c>
      <c r="E124" s="4" t="s">
        <v>300</v>
      </c>
      <c r="F124" s="5">
        <v>22708.95</v>
      </c>
      <c r="G124" s="6">
        <v>1793</v>
      </c>
      <c r="H124" s="6">
        <v>519</v>
      </c>
      <c r="I124" s="6">
        <v>289</v>
      </c>
      <c r="J124" s="15">
        <v>2.1289604943622109E-3</v>
      </c>
    </row>
    <row r="125" spans="2:10" ht="18" customHeight="1" x14ac:dyDescent="0.15">
      <c r="B125" s="48"/>
      <c r="D125" s="22" t="s">
        <v>301</v>
      </c>
      <c r="E125" s="8" t="s">
        <v>302</v>
      </c>
      <c r="F125" s="9">
        <v>22421.21</v>
      </c>
      <c r="G125" s="10">
        <v>12240</v>
      </c>
      <c r="H125" s="10">
        <v>1273</v>
      </c>
      <c r="I125" s="10">
        <v>458</v>
      </c>
      <c r="J125" s="18">
        <v>2.1019849145732829E-3</v>
      </c>
    </row>
    <row r="126" spans="2:10" ht="18" customHeight="1" x14ac:dyDescent="0.15">
      <c r="B126" s="48"/>
      <c r="D126" s="21" t="s">
        <v>303</v>
      </c>
      <c r="E126" s="4" t="s">
        <v>304</v>
      </c>
      <c r="F126" s="5">
        <v>22176.49</v>
      </c>
      <c r="G126" s="6">
        <v>3954</v>
      </c>
      <c r="H126" s="6">
        <v>456</v>
      </c>
      <c r="I126" s="6">
        <v>184</v>
      </c>
      <c r="J126" s="15">
        <v>2.0790424530248491E-3</v>
      </c>
    </row>
    <row r="127" spans="2:10" ht="18" customHeight="1" x14ac:dyDescent="0.15">
      <c r="B127" s="48"/>
      <c r="D127" s="22" t="s">
        <v>305</v>
      </c>
      <c r="E127" s="8" t="s">
        <v>306</v>
      </c>
      <c r="F127" s="9">
        <v>22144.98</v>
      </c>
      <c r="G127" s="10">
        <v>4765</v>
      </c>
      <c r="H127" s="10">
        <v>429</v>
      </c>
      <c r="I127" s="10">
        <v>228</v>
      </c>
      <c r="J127" s="18">
        <v>2.0760883954758489E-3</v>
      </c>
    </row>
    <row r="128" spans="2:10" ht="18" customHeight="1" x14ac:dyDescent="0.15">
      <c r="B128" s="48"/>
      <c r="D128" s="21" t="s">
        <v>307</v>
      </c>
      <c r="E128" s="4" t="s">
        <v>308</v>
      </c>
      <c r="F128" s="5">
        <v>22138.57</v>
      </c>
      <c r="G128" s="6">
        <v>3419</v>
      </c>
      <c r="H128" s="6">
        <v>592</v>
      </c>
      <c r="I128" s="6">
        <v>286</v>
      </c>
      <c r="J128" s="15">
        <v>2.0754874589830191E-3</v>
      </c>
    </row>
    <row r="129" spans="2:10" ht="18" customHeight="1" x14ac:dyDescent="0.15">
      <c r="B129" s="48"/>
      <c r="D129" s="22" t="s">
        <v>309</v>
      </c>
      <c r="E129" s="8" t="s">
        <v>310</v>
      </c>
      <c r="F129" s="9">
        <v>22092.42</v>
      </c>
      <c r="G129" s="10">
        <v>9773</v>
      </c>
      <c r="H129" s="10">
        <v>863</v>
      </c>
      <c r="I129" s="10">
        <v>248</v>
      </c>
      <c r="J129" s="18">
        <v>2.0711609037343251E-3</v>
      </c>
    </row>
    <row r="130" spans="2:10" ht="18" customHeight="1" x14ac:dyDescent="0.15">
      <c r="B130" s="48"/>
      <c r="D130" s="21" t="s">
        <v>311</v>
      </c>
      <c r="E130" s="4" t="s">
        <v>312</v>
      </c>
      <c r="F130" s="5">
        <v>21852.81</v>
      </c>
      <c r="G130" s="6">
        <v>10962</v>
      </c>
      <c r="H130" s="6">
        <v>879</v>
      </c>
      <c r="I130" s="6">
        <v>377</v>
      </c>
      <c r="J130" s="15">
        <v>2.048697503882983E-3</v>
      </c>
    </row>
    <row r="131" spans="2:10" ht="18" customHeight="1" x14ac:dyDescent="0.15">
      <c r="B131" s="48"/>
      <c r="D131" s="22" t="s">
        <v>313</v>
      </c>
      <c r="E131" s="8" t="s">
        <v>314</v>
      </c>
      <c r="F131" s="9">
        <v>21776.79</v>
      </c>
      <c r="G131" s="10">
        <v>17765</v>
      </c>
      <c r="H131" s="10">
        <v>1032</v>
      </c>
      <c r="I131" s="10">
        <v>335</v>
      </c>
      <c r="J131" s="18">
        <v>2.0415706408276062E-3</v>
      </c>
    </row>
    <row r="132" spans="2:10" ht="18" customHeight="1" x14ac:dyDescent="0.15">
      <c r="B132" s="48"/>
      <c r="D132" s="21" t="s">
        <v>315</v>
      </c>
      <c r="E132" s="4" t="s">
        <v>316</v>
      </c>
      <c r="F132" s="5">
        <v>21750.63</v>
      </c>
      <c r="G132" s="6">
        <v>11817</v>
      </c>
      <c r="H132" s="6">
        <v>1150</v>
      </c>
      <c r="I132" s="6">
        <v>479</v>
      </c>
      <c r="J132" s="15">
        <v>2.039118144937989E-3</v>
      </c>
    </row>
    <row r="133" spans="2:10" ht="18" customHeight="1" x14ac:dyDescent="0.15">
      <c r="B133" s="48"/>
      <c r="D133" s="22" t="s">
        <v>317</v>
      </c>
      <c r="E133" s="8" t="s">
        <v>318</v>
      </c>
      <c r="F133" s="9">
        <v>21635.14</v>
      </c>
      <c r="G133" s="10">
        <v>11793</v>
      </c>
      <c r="H133" s="10">
        <v>850</v>
      </c>
      <c r="I133" s="10">
        <v>287</v>
      </c>
      <c r="J133" s="18">
        <v>2.028290975584325E-3</v>
      </c>
    </row>
    <row r="134" spans="2:10" ht="18" customHeight="1" x14ac:dyDescent="0.15">
      <c r="B134" s="48"/>
      <c r="D134" s="21" t="s">
        <v>319</v>
      </c>
      <c r="E134" s="4" t="s">
        <v>320</v>
      </c>
      <c r="F134" s="5">
        <v>21601.69</v>
      </c>
      <c r="G134" s="6">
        <v>3246</v>
      </c>
      <c r="H134" s="6">
        <v>502</v>
      </c>
      <c r="I134" s="6">
        <v>203</v>
      </c>
      <c r="J134" s="15">
        <v>2.0251550433401468E-3</v>
      </c>
    </row>
    <row r="135" spans="2:10" ht="18" customHeight="1" x14ac:dyDescent="0.15">
      <c r="B135" s="48"/>
      <c r="D135" s="22" t="s">
        <v>321</v>
      </c>
      <c r="E135" s="8" t="s">
        <v>322</v>
      </c>
      <c r="F135" s="9">
        <v>21365.25</v>
      </c>
      <c r="G135" s="10">
        <v>2013</v>
      </c>
      <c r="H135" s="10">
        <v>539</v>
      </c>
      <c r="I135" s="10">
        <v>260</v>
      </c>
      <c r="J135" s="18">
        <v>2.0029888304907198E-3</v>
      </c>
    </row>
    <row r="136" spans="2:10" ht="18" customHeight="1" x14ac:dyDescent="0.15">
      <c r="B136" s="48"/>
      <c r="D136" s="21" t="s">
        <v>323</v>
      </c>
      <c r="E136" s="4" t="s">
        <v>324</v>
      </c>
      <c r="F136" s="5">
        <v>21259.1</v>
      </c>
      <c r="G136" s="6">
        <v>36419</v>
      </c>
      <c r="H136" s="6">
        <v>1320</v>
      </c>
      <c r="I136" s="6">
        <v>635</v>
      </c>
      <c r="J136" s="15">
        <v>1.9930372846695111E-3</v>
      </c>
    </row>
    <row r="137" spans="2:10" ht="18" customHeight="1" x14ac:dyDescent="0.15">
      <c r="B137" s="48"/>
      <c r="D137" s="22" t="s">
        <v>325</v>
      </c>
      <c r="E137" s="8" t="s">
        <v>326</v>
      </c>
      <c r="F137" s="9">
        <v>20957.64</v>
      </c>
      <c r="G137" s="10">
        <v>10364</v>
      </c>
      <c r="H137" s="10">
        <v>723</v>
      </c>
      <c r="I137" s="10">
        <v>287</v>
      </c>
      <c r="J137" s="18">
        <v>1.9647754570363339E-3</v>
      </c>
    </row>
    <row r="138" spans="2:10" ht="18" customHeight="1" x14ac:dyDescent="0.15">
      <c r="B138" s="48"/>
      <c r="D138" s="21" t="s">
        <v>327</v>
      </c>
      <c r="E138" s="4" t="s">
        <v>328</v>
      </c>
      <c r="F138" s="5">
        <v>20911.98</v>
      </c>
      <c r="G138" s="6">
        <v>12183</v>
      </c>
      <c r="H138" s="6">
        <v>1036</v>
      </c>
      <c r="I138" s="6">
        <v>401</v>
      </c>
      <c r="J138" s="15">
        <v>1.960494839210649E-3</v>
      </c>
    </row>
    <row r="139" spans="2:10" ht="18" customHeight="1" x14ac:dyDescent="0.15">
      <c r="B139" s="48"/>
      <c r="D139" s="22" t="s">
        <v>329</v>
      </c>
      <c r="E139" s="8" t="s">
        <v>330</v>
      </c>
      <c r="F139" s="9">
        <v>20818.7</v>
      </c>
      <c r="G139" s="10">
        <v>11523</v>
      </c>
      <c r="H139" s="10">
        <v>707</v>
      </c>
      <c r="I139" s="10">
        <v>213</v>
      </c>
      <c r="J139" s="18">
        <v>1.9517498538672449E-3</v>
      </c>
    </row>
    <row r="140" spans="2:10" ht="18" customHeight="1" x14ac:dyDescent="0.15">
      <c r="B140" s="48"/>
      <c r="D140" s="21" t="s">
        <v>331</v>
      </c>
      <c r="E140" s="4" t="s">
        <v>332</v>
      </c>
      <c r="F140" s="5">
        <v>20702.150000000001</v>
      </c>
      <c r="G140" s="6">
        <v>5364</v>
      </c>
      <c r="H140" s="6">
        <v>783</v>
      </c>
      <c r="I140" s="6">
        <v>291</v>
      </c>
      <c r="J140" s="15">
        <v>1.940823309680133E-3</v>
      </c>
    </row>
    <row r="141" spans="2:10" ht="18" customHeight="1" x14ac:dyDescent="0.15">
      <c r="B141" s="48"/>
      <c r="D141" s="22" t="s">
        <v>333</v>
      </c>
      <c r="E141" s="8" t="s">
        <v>334</v>
      </c>
      <c r="F141" s="9">
        <v>20594.45</v>
      </c>
      <c r="G141" s="10">
        <v>3918</v>
      </c>
      <c r="H141" s="10">
        <v>499</v>
      </c>
      <c r="I141" s="10">
        <v>252</v>
      </c>
      <c r="J141" s="18">
        <v>1.930726451602467E-3</v>
      </c>
    </row>
    <row r="142" spans="2:10" ht="18" customHeight="1" x14ac:dyDescent="0.15">
      <c r="B142" s="48"/>
      <c r="D142" s="21" t="s">
        <v>335</v>
      </c>
      <c r="E142" s="4" t="s">
        <v>336</v>
      </c>
      <c r="F142" s="5">
        <v>19640.79</v>
      </c>
      <c r="G142" s="6">
        <v>6749</v>
      </c>
      <c r="H142" s="6">
        <v>910</v>
      </c>
      <c r="I142" s="6">
        <v>392</v>
      </c>
      <c r="J142" s="15">
        <v>1.8413209764460441E-3</v>
      </c>
    </row>
    <row r="143" spans="2:10" ht="18" customHeight="1" x14ac:dyDescent="0.15">
      <c r="B143" s="48"/>
      <c r="D143" s="22" t="s">
        <v>337</v>
      </c>
      <c r="E143" s="8" t="s">
        <v>338</v>
      </c>
      <c r="F143" s="9">
        <v>19411.62</v>
      </c>
      <c r="G143" s="10">
        <v>14688</v>
      </c>
      <c r="H143" s="10">
        <v>689</v>
      </c>
      <c r="I143" s="10">
        <v>348</v>
      </c>
      <c r="J143" s="18">
        <v>1.8198363249543189E-3</v>
      </c>
    </row>
    <row r="144" spans="2:10" ht="18" customHeight="1" x14ac:dyDescent="0.15">
      <c r="B144" s="48"/>
      <c r="D144" s="21" t="s">
        <v>339</v>
      </c>
      <c r="E144" s="4" t="s">
        <v>340</v>
      </c>
      <c r="F144" s="5">
        <v>19322.16</v>
      </c>
      <c r="G144" s="6">
        <v>1604</v>
      </c>
      <c r="H144" s="6">
        <v>445</v>
      </c>
      <c r="I144" s="6">
        <v>187</v>
      </c>
      <c r="J144" s="15">
        <v>1.8114494640106981E-3</v>
      </c>
    </row>
    <row r="145" spans="2:10" ht="18" customHeight="1" x14ac:dyDescent="0.15">
      <c r="B145" s="48"/>
      <c r="D145" s="22" t="s">
        <v>341</v>
      </c>
      <c r="E145" s="8" t="s">
        <v>342</v>
      </c>
      <c r="F145" s="9">
        <v>19130.37</v>
      </c>
      <c r="G145" s="10">
        <v>6847</v>
      </c>
      <c r="H145" s="10">
        <v>581</v>
      </c>
      <c r="I145" s="10">
        <v>227</v>
      </c>
      <c r="J145" s="18">
        <v>1.793469181645651E-3</v>
      </c>
    </row>
    <row r="146" spans="2:10" ht="18" customHeight="1" x14ac:dyDescent="0.15">
      <c r="B146" s="48"/>
      <c r="D146" s="21" t="s">
        <v>343</v>
      </c>
      <c r="E146" s="4" t="s">
        <v>344</v>
      </c>
      <c r="F146" s="5">
        <v>18890.47</v>
      </c>
      <c r="G146" s="6">
        <v>7962</v>
      </c>
      <c r="H146" s="6">
        <v>681</v>
      </c>
      <c r="I146" s="6">
        <v>262</v>
      </c>
      <c r="J146" s="15">
        <v>1.770978594339876E-3</v>
      </c>
    </row>
    <row r="147" spans="2:10" ht="18" customHeight="1" x14ac:dyDescent="0.15">
      <c r="B147" s="48"/>
      <c r="D147" s="22" t="s">
        <v>345</v>
      </c>
      <c r="E147" s="8" t="s">
        <v>346</v>
      </c>
      <c r="F147" s="9">
        <v>18788.55</v>
      </c>
      <c r="G147" s="10">
        <v>12532</v>
      </c>
      <c r="H147" s="10">
        <v>646</v>
      </c>
      <c r="I147" s="10">
        <v>429</v>
      </c>
      <c r="J147" s="18">
        <v>1.7614236103540291E-3</v>
      </c>
    </row>
    <row r="148" spans="2:10" ht="18" customHeight="1" x14ac:dyDescent="0.15">
      <c r="B148" s="48"/>
      <c r="D148" s="21" t="s">
        <v>347</v>
      </c>
      <c r="E148" s="4" t="s">
        <v>348</v>
      </c>
      <c r="F148" s="5">
        <v>18750.580000000002</v>
      </c>
      <c r="G148" s="6">
        <v>10332</v>
      </c>
      <c r="H148" s="6">
        <v>1084</v>
      </c>
      <c r="I148" s="6">
        <v>399</v>
      </c>
      <c r="J148" s="15">
        <v>1.7578639288200551E-3</v>
      </c>
    </row>
    <row r="149" spans="2:10" ht="18" customHeight="1" x14ac:dyDescent="0.15">
      <c r="B149" s="48"/>
      <c r="D149" s="22" t="s">
        <v>349</v>
      </c>
      <c r="E149" s="8" t="s">
        <v>350</v>
      </c>
      <c r="F149" s="9">
        <v>18569.84</v>
      </c>
      <c r="G149" s="10">
        <v>23826</v>
      </c>
      <c r="H149" s="10">
        <v>518</v>
      </c>
      <c r="I149" s="10">
        <v>194</v>
      </c>
      <c r="J149" s="18">
        <v>1.74091958221878E-3</v>
      </c>
    </row>
    <row r="150" spans="2:10" ht="18" customHeight="1" x14ac:dyDescent="0.15">
      <c r="B150" s="48"/>
      <c r="D150" s="21" t="s">
        <v>351</v>
      </c>
      <c r="E150" s="4" t="s">
        <v>352</v>
      </c>
      <c r="F150" s="5">
        <v>18323.38</v>
      </c>
      <c r="G150" s="6">
        <v>9933</v>
      </c>
      <c r="H150" s="6">
        <v>1017</v>
      </c>
      <c r="I150" s="6">
        <v>372</v>
      </c>
      <c r="J150" s="15">
        <v>1.7178139959437429E-3</v>
      </c>
    </row>
    <row r="151" spans="2:10" ht="18" customHeight="1" x14ac:dyDescent="0.15">
      <c r="B151" s="48"/>
      <c r="D151" s="22" t="s">
        <v>353</v>
      </c>
      <c r="E151" s="8" t="s">
        <v>354</v>
      </c>
      <c r="F151" s="9">
        <v>18092.36</v>
      </c>
      <c r="G151" s="10">
        <v>10464</v>
      </c>
      <c r="H151" s="10">
        <v>1157</v>
      </c>
      <c r="I151" s="10">
        <v>490</v>
      </c>
      <c r="J151" s="18">
        <v>1.6961559072427E-3</v>
      </c>
    </row>
    <row r="152" spans="2:10" ht="18" customHeight="1" x14ac:dyDescent="0.15">
      <c r="B152" s="48"/>
      <c r="D152" s="21" t="s">
        <v>355</v>
      </c>
      <c r="E152" s="4" t="s">
        <v>356</v>
      </c>
      <c r="F152" s="5">
        <v>18069.28</v>
      </c>
      <c r="G152" s="6">
        <v>10253</v>
      </c>
      <c r="H152" s="6">
        <v>262</v>
      </c>
      <c r="I152" s="6">
        <v>160</v>
      </c>
      <c r="J152" s="15">
        <v>1.693992160869139E-3</v>
      </c>
    </row>
    <row r="153" spans="2:10" ht="18" customHeight="1" x14ac:dyDescent="0.15">
      <c r="B153" s="48"/>
      <c r="D153" s="22" t="s">
        <v>357</v>
      </c>
      <c r="E153" s="8" t="s">
        <v>358</v>
      </c>
      <c r="F153" s="9">
        <v>18055.11</v>
      </c>
      <c r="G153" s="10">
        <v>3474</v>
      </c>
      <c r="H153" s="10">
        <v>657</v>
      </c>
      <c r="I153" s="10">
        <v>316</v>
      </c>
      <c r="J153" s="18">
        <v>1.692663725595596E-3</v>
      </c>
    </row>
    <row r="154" spans="2:10" ht="18" customHeight="1" x14ac:dyDescent="0.15">
      <c r="B154" s="48"/>
      <c r="D154" s="21" t="s">
        <v>359</v>
      </c>
      <c r="E154" s="4" t="s">
        <v>360</v>
      </c>
      <c r="F154" s="5">
        <v>17927.45</v>
      </c>
      <c r="G154" s="6">
        <v>16244</v>
      </c>
      <c r="H154" s="6">
        <v>305</v>
      </c>
      <c r="I154" s="6">
        <v>167</v>
      </c>
      <c r="J154" s="15">
        <v>1.6806956206541399E-3</v>
      </c>
    </row>
    <row r="155" spans="2:10" ht="18" customHeight="1" x14ac:dyDescent="0.15">
      <c r="B155" s="48"/>
      <c r="D155" s="22" t="s">
        <v>361</v>
      </c>
      <c r="E155" s="8" t="s">
        <v>362</v>
      </c>
      <c r="F155" s="9">
        <v>17910.03</v>
      </c>
      <c r="G155" s="10">
        <v>8498</v>
      </c>
      <c r="H155" s="10">
        <v>654</v>
      </c>
      <c r="I155" s="10">
        <v>375</v>
      </c>
      <c r="J155" s="18">
        <v>1.679062498391253E-3</v>
      </c>
    </row>
    <row r="156" spans="2:10" ht="18" customHeight="1" x14ac:dyDescent="0.15">
      <c r="B156" s="48"/>
      <c r="D156" s="21" t="s">
        <v>363</v>
      </c>
      <c r="E156" s="4" t="s">
        <v>364</v>
      </c>
      <c r="F156" s="5">
        <v>17708.53</v>
      </c>
      <c r="G156" s="6">
        <v>3533</v>
      </c>
      <c r="H156" s="6">
        <v>623</v>
      </c>
      <c r="I156" s="6">
        <v>371</v>
      </c>
      <c r="J156" s="15">
        <v>1.6601719050518869E-3</v>
      </c>
    </row>
    <row r="157" spans="2:10" ht="18" customHeight="1" x14ac:dyDescent="0.15">
      <c r="B157" s="48"/>
      <c r="D157" s="22" t="s">
        <v>365</v>
      </c>
      <c r="E157" s="8" t="s">
        <v>366</v>
      </c>
      <c r="F157" s="9">
        <v>17655.8</v>
      </c>
      <c r="G157" s="10">
        <v>6084</v>
      </c>
      <c r="H157" s="10">
        <v>879</v>
      </c>
      <c r="I157" s="10">
        <v>356</v>
      </c>
      <c r="J157" s="18">
        <v>1.6552284758370749E-3</v>
      </c>
    </row>
    <row r="158" spans="2:10" ht="18" customHeight="1" x14ac:dyDescent="0.15">
      <c r="B158" s="48"/>
      <c r="D158" s="21" t="s">
        <v>367</v>
      </c>
      <c r="E158" s="4" t="s">
        <v>368</v>
      </c>
      <c r="F158" s="5">
        <v>17551.759999999998</v>
      </c>
      <c r="G158" s="6">
        <v>5824</v>
      </c>
      <c r="H158" s="6">
        <v>765</v>
      </c>
      <c r="I158" s="6">
        <v>319</v>
      </c>
      <c r="J158" s="15">
        <v>1.6454747421843321E-3</v>
      </c>
    </row>
    <row r="159" spans="2:10" ht="18" customHeight="1" x14ac:dyDescent="0.15">
      <c r="B159" s="48"/>
      <c r="D159" s="22" t="s">
        <v>369</v>
      </c>
      <c r="E159" s="8" t="s">
        <v>370</v>
      </c>
      <c r="F159" s="9">
        <v>17435.189999999999</v>
      </c>
      <c r="G159" s="10">
        <v>10515</v>
      </c>
      <c r="H159" s="10">
        <v>1090</v>
      </c>
      <c r="I159" s="10">
        <v>444</v>
      </c>
      <c r="J159" s="18">
        <v>1.634546323000363E-3</v>
      </c>
    </row>
    <row r="160" spans="2:10" ht="18" customHeight="1" x14ac:dyDescent="0.15">
      <c r="B160" s="48"/>
      <c r="D160" s="21" t="s">
        <v>261</v>
      </c>
      <c r="E160" s="4" t="s">
        <v>371</v>
      </c>
      <c r="F160" s="5">
        <v>17272.849999999999</v>
      </c>
      <c r="G160" s="6">
        <v>8895</v>
      </c>
      <c r="H160" s="6">
        <v>514</v>
      </c>
      <c r="I160" s="6">
        <v>299</v>
      </c>
      <c r="J160" s="15">
        <v>1.619326973507992E-3</v>
      </c>
    </row>
    <row r="161" spans="2:10" ht="18" customHeight="1" x14ac:dyDescent="0.15">
      <c r="B161" s="48"/>
      <c r="D161" s="22" t="s">
        <v>372</v>
      </c>
      <c r="E161" s="8" t="s">
        <v>373</v>
      </c>
      <c r="F161" s="9">
        <v>17245.93</v>
      </c>
      <c r="G161" s="10">
        <v>8414</v>
      </c>
      <c r="H161" s="10">
        <v>662</v>
      </c>
      <c r="I161" s="10">
        <v>232</v>
      </c>
      <c r="J161" s="18">
        <v>1.61680322773779E-3</v>
      </c>
    </row>
    <row r="162" spans="2:10" ht="18" customHeight="1" x14ac:dyDescent="0.15">
      <c r="B162" s="48"/>
      <c r="D162" s="21" t="s">
        <v>374</v>
      </c>
      <c r="E162" s="4" t="s">
        <v>375</v>
      </c>
      <c r="F162" s="5">
        <v>17205.37</v>
      </c>
      <c r="G162" s="6">
        <v>9183</v>
      </c>
      <c r="H162" s="6">
        <v>955</v>
      </c>
      <c r="I162" s="6">
        <v>413</v>
      </c>
      <c r="J162" s="15">
        <v>1.6130007341107701E-3</v>
      </c>
    </row>
    <row r="163" spans="2:10" ht="18" customHeight="1" x14ac:dyDescent="0.15">
      <c r="B163" s="48"/>
      <c r="D163" s="22" t="s">
        <v>376</v>
      </c>
      <c r="E163" s="8" t="s">
        <v>377</v>
      </c>
      <c r="F163" s="9">
        <v>17081.86</v>
      </c>
      <c r="G163" s="10">
        <v>8671</v>
      </c>
      <c r="H163" s="10">
        <v>686</v>
      </c>
      <c r="I163" s="10">
        <v>247</v>
      </c>
      <c r="J163" s="18">
        <v>1.601421691017246E-3</v>
      </c>
    </row>
    <row r="164" spans="2:10" ht="18" customHeight="1" x14ac:dyDescent="0.15">
      <c r="B164" s="48"/>
      <c r="D164" s="21" t="s">
        <v>378</v>
      </c>
      <c r="E164" s="4" t="s">
        <v>379</v>
      </c>
      <c r="F164" s="5">
        <v>17073.650000000001</v>
      </c>
      <c r="G164" s="6">
        <v>5737</v>
      </c>
      <c r="H164" s="6">
        <v>264</v>
      </c>
      <c r="I164" s="6">
        <v>145</v>
      </c>
      <c r="J164" s="15">
        <v>1.60065200480724E-3</v>
      </c>
    </row>
    <row r="165" spans="2:10" ht="18" customHeight="1" x14ac:dyDescent="0.15">
      <c r="B165" s="48"/>
      <c r="D165" s="22" t="s">
        <v>199</v>
      </c>
      <c r="E165" s="8" t="s">
        <v>380</v>
      </c>
      <c r="F165" s="9">
        <v>17055.150000000001</v>
      </c>
      <c r="G165" s="10">
        <v>20160</v>
      </c>
      <c r="H165" s="10">
        <v>589</v>
      </c>
      <c r="I165" s="10">
        <v>228</v>
      </c>
      <c r="J165" s="18">
        <v>1.598917632714047E-3</v>
      </c>
    </row>
    <row r="166" spans="2:10" ht="18" customHeight="1" x14ac:dyDescent="0.15">
      <c r="B166" s="48"/>
      <c r="D166" s="21" t="s">
        <v>381</v>
      </c>
      <c r="E166" s="4" t="s">
        <v>382</v>
      </c>
      <c r="F166" s="5">
        <v>17049.919999999998</v>
      </c>
      <c r="G166" s="6">
        <v>2780</v>
      </c>
      <c r="H166" s="6">
        <v>777</v>
      </c>
      <c r="I166" s="6">
        <v>360</v>
      </c>
      <c r="J166" s="15">
        <v>1.5984273210358101E-3</v>
      </c>
    </row>
    <row r="167" spans="2:10" ht="18" customHeight="1" x14ac:dyDescent="0.15">
      <c r="B167" s="48"/>
      <c r="D167" s="22" t="s">
        <v>383</v>
      </c>
      <c r="E167" s="8" t="s">
        <v>384</v>
      </c>
      <c r="F167" s="9">
        <v>17047.060000000001</v>
      </c>
      <c r="G167" s="10">
        <v>7306</v>
      </c>
      <c r="H167" s="10">
        <v>609</v>
      </c>
      <c r="I167" s="10">
        <v>206</v>
      </c>
      <c r="J167" s="18">
        <v>1.5981591964851871E-3</v>
      </c>
    </row>
    <row r="168" spans="2:10" ht="18" customHeight="1" x14ac:dyDescent="0.15">
      <c r="B168" s="48"/>
      <c r="D168" s="21" t="s">
        <v>385</v>
      </c>
      <c r="E168" s="4" t="s">
        <v>386</v>
      </c>
      <c r="F168" s="5">
        <v>16937.82</v>
      </c>
      <c r="G168" s="6">
        <v>26633</v>
      </c>
      <c r="H168" s="6">
        <v>380</v>
      </c>
      <c r="I168" s="6">
        <v>213</v>
      </c>
      <c r="J168" s="15">
        <v>1.587917963649493E-3</v>
      </c>
    </row>
    <row r="169" spans="2:10" ht="18" customHeight="1" x14ac:dyDescent="0.15">
      <c r="B169" s="48"/>
      <c r="D169" s="22" t="s">
        <v>387</v>
      </c>
      <c r="E169" s="8" t="s">
        <v>388</v>
      </c>
      <c r="F169" s="9">
        <v>16759.75</v>
      </c>
      <c r="G169" s="10">
        <v>13308</v>
      </c>
      <c r="H169" s="10">
        <v>833</v>
      </c>
      <c r="I169" s="10">
        <v>238</v>
      </c>
      <c r="J169" s="18">
        <v>1.5712239291286951E-3</v>
      </c>
    </row>
    <row r="170" spans="2:10" ht="18" customHeight="1" x14ac:dyDescent="0.15">
      <c r="B170" s="48"/>
      <c r="D170" s="21" t="s">
        <v>389</v>
      </c>
      <c r="E170" s="4" t="s">
        <v>390</v>
      </c>
      <c r="F170" s="5">
        <v>16528.310000000001</v>
      </c>
      <c r="G170" s="6">
        <v>1901</v>
      </c>
      <c r="H170" s="6">
        <v>711</v>
      </c>
      <c r="I170" s="6">
        <v>376</v>
      </c>
      <c r="J170" s="15">
        <v>1.5495264654936439E-3</v>
      </c>
    </row>
    <row r="171" spans="2:10" ht="18" customHeight="1" x14ac:dyDescent="0.15">
      <c r="B171" s="48"/>
      <c r="D171" s="22" t="s">
        <v>391</v>
      </c>
      <c r="E171" s="8" t="s">
        <v>392</v>
      </c>
      <c r="F171" s="9">
        <v>16507.23</v>
      </c>
      <c r="G171" s="10">
        <v>12672</v>
      </c>
      <c r="H171" s="10">
        <v>1073</v>
      </c>
      <c r="I171" s="10">
        <v>431</v>
      </c>
      <c r="J171" s="18">
        <v>1.547550218805833E-3</v>
      </c>
    </row>
    <row r="172" spans="2:10" ht="18" customHeight="1" x14ac:dyDescent="0.15">
      <c r="B172" s="48"/>
      <c r="D172" s="21" t="s">
        <v>393</v>
      </c>
      <c r="E172" s="4" t="s">
        <v>394</v>
      </c>
      <c r="F172" s="5">
        <v>16477.53</v>
      </c>
      <c r="G172" s="6">
        <v>12512</v>
      </c>
      <c r="H172" s="6">
        <v>728</v>
      </c>
      <c r="I172" s="6">
        <v>304</v>
      </c>
      <c r="J172" s="15">
        <v>1.544765848472438E-3</v>
      </c>
    </row>
    <row r="173" spans="2:10" ht="18" customHeight="1" x14ac:dyDescent="0.15">
      <c r="B173" s="48"/>
      <c r="D173" s="22" t="s">
        <v>395</v>
      </c>
      <c r="E173" s="8" t="s">
        <v>396</v>
      </c>
      <c r="F173" s="9">
        <v>16363.3</v>
      </c>
      <c r="G173" s="10">
        <v>415</v>
      </c>
      <c r="H173" s="10">
        <v>155</v>
      </c>
      <c r="I173" s="10">
        <v>79</v>
      </c>
      <c r="J173" s="18">
        <v>1.5340568039207969E-3</v>
      </c>
    </row>
    <row r="174" spans="2:10" ht="18" customHeight="1" x14ac:dyDescent="0.15">
      <c r="B174" s="48"/>
      <c r="D174" s="21" t="s">
        <v>397</v>
      </c>
      <c r="E174" s="4" t="s">
        <v>398</v>
      </c>
      <c r="F174" s="5">
        <v>16357.05</v>
      </c>
      <c r="G174" s="6">
        <v>8825</v>
      </c>
      <c r="H174" s="6">
        <v>913</v>
      </c>
      <c r="I174" s="6">
        <v>405</v>
      </c>
      <c r="J174" s="15">
        <v>1.5334708674028261E-3</v>
      </c>
    </row>
    <row r="175" spans="2:10" ht="18" customHeight="1" x14ac:dyDescent="0.15">
      <c r="B175" s="48"/>
      <c r="D175" s="22" t="s">
        <v>399</v>
      </c>
      <c r="E175" s="8" t="s">
        <v>400</v>
      </c>
      <c r="F175" s="9">
        <v>16164.04</v>
      </c>
      <c r="G175" s="10">
        <v>3323</v>
      </c>
      <c r="H175" s="10">
        <v>459</v>
      </c>
      <c r="I175" s="10">
        <v>211</v>
      </c>
      <c r="J175" s="18">
        <v>1.515376210229472E-3</v>
      </c>
    </row>
    <row r="176" spans="2:10" ht="18" customHeight="1" x14ac:dyDescent="0.15">
      <c r="B176" s="48"/>
      <c r="D176" s="21" t="s">
        <v>401</v>
      </c>
      <c r="E176" s="4" t="s">
        <v>402</v>
      </c>
      <c r="F176" s="5">
        <v>15983.33</v>
      </c>
      <c r="G176" s="6">
        <v>8272</v>
      </c>
      <c r="H176" s="6">
        <v>677</v>
      </c>
      <c r="I176" s="6">
        <v>270</v>
      </c>
      <c r="J176" s="15">
        <v>1.498434676123483E-3</v>
      </c>
    </row>
    <row r="177" spans="2:10" ht="18" customHeight="1" x14ac:dyDescent="0.15">
      <c r="B177" s="48"/>
      <c r="D177" s="22" t="s">
        <v>403</v>
      </c>
      <c r="E177" s="8" t="s">
        <v>404</v>
      </c>
      <c r="F177" s="9">
        <v>15833.31</v>
      </c>
      <c r="G177" s="10">
        <v>2997</v>
      </c>
      <c r="H177" s="10">
        <v>401</v>
      </c>
      <c r="I177" s="10">
        <v>254</v>
      </c>
      <c r="J177" s="18">
        <v>1.484370324695336E-3</v>
      </c>
    </row>
    <row r="178" spans="2:10" ht="18" customHeight="1" x14ac:dyDescent="0.15">
      <c r="B178" s="48"/>
      <c r="D178" s="21" t="s">
        <v>405</v>
      </c>
      <c r="E178" s="4" t="s">
        <v>406</v>
      </c>
      <c r="F178" s="5">
        <v>15828.84</v>
      </c>
      <c r="G178" s="6">
        <v>2844</v>
      </c>
      <c r="H178" s="6">
        <v>321</v>
      </c>
      <c r="I178" s="6">
        <v>142</v>
      </c>
      <c r="J178" s="15">
        <v>1.4839512628976839E-3</v>
      </c>
    </row>
    <row r="179" spans="2:10" ht="18" customHeight="1" x14ac:dyDescent="0.15">
      <c r="B179" s="48"/>
      <c r="D179" s="22" t="s">
        <v>407</v>
      </c>
      <c r="E179" s="8" t="s">
        <v>408</v>
      </c>
      <c r="F179" s="9">
        <v>15636.99</v>
      </c>
      <c r="G179" s="10">
        <v>6910</v>
      </c>
      <c r="H179" s="10">
        <v>748</v>
      </c>
      <c r="I179" s="10">
        <v>187</v>
      </c>
      <c r="J179" s="18">
        <v>1.465965355542064E-3</v>
      </c>
    </row>
    <row r="180" spans="2:10" ht="18" customHeight="1" x14ac:dyDescent="0.15">
      <c r="B180" s="48"/>
      <c r="D180" s="21" t="s">
        <v>409</v>
      </c>
      <c r="E180" s="4" t="s">
        <v>410</v>
      </c>
      <c r="F180" s="5">
        <v>15240.07</v>
      </c>
      <c r="G180" s="6">
        <v>2403</v>
      </c>
      <c r="H180" s="6">
        <v>543</v>
      </c>
      <c r="I180" s="6">
        <v>241</v>
      </c>
      <c r="J180" s="15">
        <v>1.4287541679080141E-3</v>
      </c>
    </row>
    <row r="181" spans="2:10" ht="18" customHeight="1" x14ac:dyDescent="0.15">
      <c r="B181" s="48"/>
      <c r="D181" s="22" t="s">
        <v>411</v>
      </c>
      <c r="E181" s="8" t="s">
        <v>412</v>
      </c>
      <c r="F181" s="9">
        <v>15122.97</v>
      </c>
      <c r="G181" s="10">
        <v>5189</v>
      </c>
      <c r="H181" s="10">
        <v>436</v>
      </c>
      <c r="I181" s="10">
        <v>277</v>
      </c>
      <c r="J181" s="18">
        <v>1.4177760613073209E-3</v>
      </c>
    </row>
    <row r="182" spans="2:10" ht="18" customHeight="1" x14ac:dyDescent="0.15">
      <c r="B182" s="48"/>
      <c r="D182" s="21" t="s">
        <v>413</v>
      </c>
      <c r="E182" s="4" t="s">
        <v>414</v>
      </c>
      <c r="F182" s="5">
        <v>14975.93</v>
      </c>
      <c r="G182" s="6">
        <v>4919</v>
      </c>
      <c r="H182" s="6">
        <v>533</v>
      </c>
      <c r="I182" s="6">
        <v>194</v>
      </c>
      <c r="J182" s="15">
        <v>1.403991084410942E-3</v>
      </c>
    </row>
    <row r="183" spans="2:10" ht="18" customHeight="1" x14ac:dyDescent="0.15">
      <c r="B183" s="48"/>
      <c r="D183" s="22" t="s">
        <v>415</v>
      </c>
      <c r="E183" s="8" t="s">
        <v>416</v>
      </c>
      <c r="F183" s="9">
        <v>14501.94</v>
      </c>
      <c r="G183" s="10">
        <v>3668</v>
      </c>
      <c r="H183" s="10">
        <v>358</v>
      </c>
      <c r="I183" s="10">
        <v>208</v>
      </c>
      <c r="J183" s="18">
        <v>1.3595545963864971E-3</v>
      </c>
    </row>
    <row r="184" spans="2:10" ht="18" customHeight="1" x14ac:dyDescent="0.15">
      <c r="B184" s="48"/>
      <c r="D184" s="21" t="s">
        <v>417</v>
      </c>
      <c r="E184" s="4" t="s">
        <v>418</v>
      </c>
      <c r="F184" s="5">
        <v>14453.47</v>
      </c>
      <c r="G184" s="6">
        <v>1790</v>
      </c>
      <c r="H184" s="6">
        <v>380</v>
      </c>
      <c r="I184" s="6">
        <v>188</v>
      </c>
      <c r="J184" s="15">
        <v>1.355010541502333E-3</v>
      </c>
    </row>
    <row r="185" spans="2:10" ht="18" customHeight="1" x14ac:dyDescent="0.15">
      <c r="B185" s="48"/>
      <c r="D185" s="22" t="s">
        <v>419</v>
      </c>
      <c r="E185" s="8" t="s">
        <v>420</v>
      </c>
      <c r="F185" s="9">
        <v>14410.62</v>
      </c>
      <c r="G185" s="10">
        <v>6632</v>
      </c>
      <c r="H185" s="10">
        <v>548</v>
      </c>
      <c r="I185" s="10">
        <v>329</v>
      </c>
      <c r="J185" s="18">
        <v>1.350993360735128E-3</v>
      </c>
    </row>
    <row r="186" spans="2:10" ht="18" customHeight="1" x14ac:dyDescent="0.15">
      <c r="B186" s="48"/>
      <c r="D186" s="21" t="s">
        <v>421</v>
      </c>
      <c r="E186" s="4" t="s">
        <v>422</v>
      </c>
      <c r="F186" s="5">
        <v>14329.54</v>
      </c>
      <c r="G186" s="6">
        <v>901</v>
      </c>
      <c r="H186" s="6">
        <v>375</v>
      </c>
      <c r="I186" s="6">
        <v>214</v>
      </c>
      <c r="J186" s="15">
        <v>1.343392123474801E-3</v>
      </c>
    </row>
    <row r="187" spans="2:10" ht="18" customHeight="1" x14ac:dyDescent="0.15">
      <c r="B187" s="48"/>
      <c r="D187" s="22" t="s">
        <v>423</v>
      </c>
      <c r="E187" s="8" t="s">
        <v>424</v>
      </c>
      <c r="F187" s="9">
        <v>14324</v>
      </c>
      <c r="G187" s="10">
        <v>2038</v>
      </c>
      <c r="H187" s="10">
        <v>407</v>
      </c>
      <c r="I187" s="10">
        <v>227</v>
      </c>
      <c r="J187" s="18">
        <v>1.342872749345272E-3</v>
      </c>
    </row>
    <row r="188" spans="2:10" ht="18" customHeight="1" x14ac:dyDescent="0.15">
      <c r="B188" s="48"/>
      <c r="D188" s="21" t="s">
        <v>425</v>
      </c>
      <c r="E188" s="4" t="s">
        <v>426</v>
      </c>
      <c r="F188" s="5">
        <v>14197.28</v>
      </c>
      <c r="G188" s="6">
        <v>7071</v>
      </c>
      <c r="H188" s="6">
        <v>595</v>
      </c>
      <c r="I188" s="6">
        <v>262</v>
      </c>
      <c r="J188" s="15">
        <v>1.3309927692561189E-3</v>
      </c>
    </row>
    <row r="189" spans="2:10" ht="18" customHeight="1" x14ac:dyDescent="0.15">
      <c r="B189" s="48"/>
      <c r="D189" s="22" t="s">
        <v>427</v>
      </c>
      <c r="E189" s="8" t="s">
        <v>428</v>
      </c>
      <c r="F189" s="9">
        <v>14193.35</v>
      </c>
      <c r="G189" s="10">
        <v>2960</v>
      </c>
      <c r="H189" s="10">
        <v>459</v>
      </c>
      <c r="I189" s="10">
        <v>230</v>
      </c>
      <c r="J189" s="18">
        <v>1.3306243323736189E-3</v>
      </c>
    </row>
    <row r="190" spans="2:10" ht="18" customHeight="1" x14ac:dyDescent="0.15">
      <c r="B190" s="48"/>
      <c r="D190" s="21" t="s">
        <v>429</v>
      </c>
      <c r="E190" s="4" t="s">
        <v>430</v>
      </c>
      <c r="F190" s="5">
        <v>14159.54</v>
      </c>
      <c r="G190" s="6">
        <v>4658</v>
      </c>
      <c r="H190" s="6">
        <v>610</v>
      </c>
      <c r="I190" s="6">
        <v>294</v>
      </c>
      <c r="J190" s="15">
        <v>1.327454650186006E-3</v>
      </c>
    </row>
    <row r="191" spans="2:10" ht="18" customHeight="1" x14ac:dyDescent="0.15">
      <c r="B191" s="48"/>
      <c r="D191" s="22" t="s">
        <v>431</v>
      </c>
      <c r="E191" s="8" t="s">
        <v>432</v>
      </c>
      <c r="F191" s="9">
        <v>14141.7</v>
      </c>
      <c r="G191" s="10">
        <v>1627</v>
      </c>
      <c r="H191" s="10">
        <v>546</v>
      </c>
      <c r="I191" s="10">
        <v>292</v>
      </c>
      <c r="J191" s="18">
        <v>1.325782152989112E-3</v>
      </c>
    </row>
    <row r="192" spans="2:10" ht="18" customHeight="1" x14ac:dyDescent="0.15">
      <c r="B192" s="48"/>
      <c r="D192" s="21" t="s">
        <v>433</v>
      </c>
      <c r="E192" s="4" t="s">
        <v>434</v>
      </c>
      <c r="F192" s="5">
        <v>14130.08</v>
      </c>
      <c r="G192" s="6">
        <v>10483</v>
      </c>
      <c r="H192" s="6">
        <v>706</v>
      </c>
      <c r="I192" s="6">
        <v>296</v>
      </c>
      <c r="J192" s="15">
        <v>1.3246927798149009E-3</v>
      </c>
    </row>
    <row r="193" spans="2:10" ht="18" customHeight="1" x14ac:dyDescent="0.15">
      <c r="B193" s="48"/>
      <c r="D193" s="22" t="s">
        <v>435</v>
      </c>
      <c r="E193" s="8" t="s">
        <v>436</v>
      </c>
      <c r="F193" s="9">
        <v>14078.69</v>
      </c>
      <c r="G193" s="10">
        <v>6441</v>
      </c>
      <c r="H193" s="10">
        <v>554</v>
      </c>
      <c r="I193" s="10">
        <v>333</v>
      </c>
      <c r="J193" s="18">
        <v>1.319874975389541E-3</v>
      </c>
    </row>
    <row r="194" spans="2:10" ht="18" customHeight="1" x14ac:dyDescent="0.15">
      <c r="B194" s="48"/>
      <c r="D194" s="21" t="s">
        <v>437</v>
      </c>
      <c r="E194" s="4" t="s">
        <v>438</v>
      </c>
      <c r="F194" s="5">
        <v>14031.16</v>
      </c>
      <c r="G194" s="6">
        <v>6450</v>
      </c>
      <c r="H194" s="6">
        <v>705</v>
      </c>
      <c r="I194" s="6">
        <v>220</v>
      </c>
      <c r="J194" s="15">
        <v>1.31541904535768E-3</v>
      </c>
    </row>
    <row r="195" spans="2:10" ht="18" customHeight="1" x14ac:dyDescent="0.15">
      <c r="B195" s="48"/>
      <c r="D195" s="22" t="s">
        <v>439</v>
      </c>
      <c r="E195" s="8" t="s">
        <v>440</v>
      </c>
      <c r="F195" s="9">
        <v>13978.95</v>
      </c>
      <c r="G195" s="10">
        <v>6081</v>
      </c>
      <c r="H195" s="10">
        <v>476</v>
      </c>
      <c r="I195" s="10">
        <v>286</v>
      </c>
      <c r="J195" s="18">
        <v>1.310524366061162E-3</v>
      </c>
    </row>
    <row r="196" spans="2:10" ht="18" customHeight="1" x14ac:dyDescent="0.15">
      <c r="B196" s="48"/>
      <c r="D196" s="21" t="s">
        <v>441</v>
      </c>
      <c r="E196" s="4" t="s">
        <v>442</v>
      </c>
      <c r="F196" s="5">
        <v>13931.31</v>
      </c>
      <c r="G196" s="6">
        <v>1342</v>
      </c>
      <c r="H196" s="6">
        <v>267</v>
      </c>
      <c r="I196" s="6">
        <v>174</v>
      </c>
      <c r="J196" s="15">
        <v>1.306058123546585E-3</v>
      </c>
    </row>
    <row r="197" spans="2:10" ht="18" customHeight="1" x14ac:dyDescent="0.15">
      <c r="B197" s="48"/>
      <c r="D197" s="22" t="s">
        <v>443</v>
      </c>
      <c r="E197" s="8" t="s">
        <v>444</v>
      </c>
      <c r="F197" s="9">
        <v>13841.85</v>
      </c>
      <c r="G197" s="10">
        <v>55047</v>
      </c>
      <c r="H197" s="10">
        <v>535</v>
      </c>
      <c r="I197" s="10">
        <v>307</v>
      </c>
      <c r="J197" s="18">
        <v>1.2976712626029639E-3</v>
      </c>
    </row>
    <row r="198" spans="2:10" ht="18" customHeight="1" x14ac:dyDescent="0.15">
      <c r="B198" s="48"/>
      <c r="D198" s="21" t="s">
        <v>445</v>
      </c>
      <c r="E198" s="4" t="s">
        <v>446</v>
      </c>
      <c r="F198" s="5">
        <v>13838.1</v>
      </c>
      <c r="G198" s="6">
        <v>11001</v>
      </c>
      <c r="H198" s="6">
        <v>522</v>
      </c>
      <c r="I198" s="6">
        <v>277</v>
      </c>
      <c r="J198" s="15">
        <v>1.2973197006921819E-3</v>
      </c>
    </row>
    <row r="199" spans="2:10" ht="18" customHeight="1" x14ac:dyDescent="0.15">
      <c r="B199" s="48"/>
      <c r="D199" s="22" t="s">
        <v>447</v>
      </c>
      <c r="E199" s="8" t="s">
        <v>448</v>
      </c>
      <c r="F199" s="9">
        <v>13812.92</v>
      </c>
      <c r="G199" s="10">
        <v>1672</v>
      </c>
      <c r="H199" s="10">
        <v>311</v>
      </c>
      <c r="I199" s="10">
        <v>205</v>
      </c>
      <c r="J199" s="18">
        <v>1.294959079648582E-3</v>
      </c>
    </row>
    <row r="200" spans="2:10" ht="18" customHeight="1" x14ac:dyDescent="0.15">
      <c r="B200" s="48"/>
      <c r="D200" s="21" t="s">
        <v>449</v>
      </c>
      <c r="E200" s="4" t="s">
        <v>450</v>
      </c>
      <c r="F200" s="5">
        <v>13761.09</v>
      </c>
      <c r="G200" s="6">
        <v>2</v>
      </c>
      <c r="H200" s="6">
        <v>2</v>
      </c>
      <c r="I200" s="6">
        <v>0</v>
      </c>
      <c r="J200" s="15">
        <v>1.290100025292358E-3</v>
      </c>
    </row>
    <row r="201" spans="2:10" ht="18" customHeight="1" x14ac:dyDescent="0.15">
      <c r="B201" s="48"/>
      <c r="D201" s="22" t="s">
        <v>451</v>
      </c>
      <c r="E201" s="8" t="s">
        <v>452</v>
      </c>
      <c r="F201" s="9">
        <v>13746.11</v>
      </c>
      <c r="G201" s="10">
        <v>1811</v>
      </c>
      <c r="H201" s="10">
        <v>382</v>
      </c>
      <c r="I201" s="10">
        <v>172</v>
      </c>
      <c r="J201" s="18">
        <v>1.2886956526460859E-3</v>
      </c>
    </row>
    <row r="202" spans="2:10" ht="18" customHeight="1" x14ac:dyDescent="0.15">
      <c r="B202" s="48"/>
      <c r="D202" s="21" t="s">
        <v>453</v>
      </c>
      <c r="E202" s="4" t="s">
        <v>454</v>
      </c>
      <c r="F202" s="5">
        <v>13720.77</v>
      </c>
      <c r="G202" s="6">
        <v>10415</v>
      </c>
      <c r="H202" s="6">
        <v>344</v>
      </c>
      <c r="I202" s="6">
        <v>217</v>
      </c>
      <c r="J202" s="15">
        <v>1.286320031627627E-3</v>
      </c>
    </row>
    <row r="203" spans="2:10" ht="18" customHeight="1" x14ac:dyDescent="0.15">
      <c r="B203" s="48"/>
      <c r="D203" s="22" t="s">
        <v>455</v>
      </c>
      <c r="E203" s="8" t="s">
        <v>456</v>
      </c>
      <c r="F203" s="9">
        <v>13615.31</v>
      </c>
      <c r="G203" s="10">
        <v>8082</v>
      </c>
      <c r="H203" s="10">
        <v>673</v>
      </c>
      <c r="I203" s="10">
        <v>339</v>
      </c>
      <c r="J203" s="18">
        <v>1.2764331731980019E-3</v>
      </c>
    </row>
    <row r="204" spans="2:10" ht="18" customHeight="1" x14ac:dyDescent="0.15">
      <c r="B204" s="48"/>
      <c r="D204" s="21" t="s">
        <v>457</v>
      </c>
      <c r="E204" s="4" t="s">
        <v>458</v>
      </c>
      <c r="F204" s="5">
        <v>13612.41</v>
      </c>
      <c r="G204" s="6">
        <v>1757</v>
      </c>
      <c r="H204" s="6">
        <v>480</v>
      </c>
      <c r="I204" s="6">
        <v>251</v>
      </c>
      <c r="J204" s="15">
        <v>1.276161298653663E-3</v>
      </c>
    </row>
    <row r="205" spans="2:10" ht="18" customHeight="1" x14ac:dyDescent="0.15">
      <c r="B205" s="48"/>
      <c r="D205" s="22" t="s">
        <v>459</v>
      </c>
      <c r="E205" s="8" t="s">
        <v>460</v>
      </c>
      <c r="F205" s="9">
        <v>13494.97</v>
      </c>
      <c r="G205" s="10">
        <v>2386</v>
      </c>
      <c r="H205" s="10">
        <v>476</v>
      </c>
      <c r="I205" s="10">
        <v>316</v>
      </c>
      <c r="J205" s="18">
        <v>1.265151317106393E-3</v>
      </c>
    </row>
    <row r="206" spans="2:10" ht="18" customHeight="1" x14ac:dyDescent="0.15">
      <c r="B206" s="48"/>
      <c r="D206" s="21" t="s">
        <v>461</v>
      </c>
      <c r="E206" s="4" t="s">
        <v>462</v>
      </c>
      <c r="F206" s="5">
        <v>13360.2</v>
      </c>
      <c r="G206" s="6">
        <v>7851</v>
      </c>
      <c r="H206" s="6">
        <v>740</v>
      </c>
      <c r="I206" s="6">
        <v>377</v>
      </c>
      <c r="J206" s="15">
        <v>1.2525166507820931E-3</v>
      </c>
    </row>
    <row r="207" spans="2:10" ht="18" customHeight="1" x14ac:dyDescent="0.15">
      <c r="B207" s="48"/>
      <c r="D207" s="22" t="s">
        <v>463</v>
      </c>
      <c r="E207" s="8" t="s">
        <v>464</v>
      </c>
      <c r="F207" s="9">
        <v>13346.04</v>
      </c>
      <c r="G207" s="10">
        <v>8689</v>
      </c>
      <c r="H207" s="10">
        <v>772</v>
      </c>
      <c r="I207" s="10">
        <v>363</v>
      </c>
      <c r="J207" s="18">
        <v>1.251189153006979E-3</v>
      </c>
    </row>
    <row r="208" spans="2:10" ht="18" customHeight="1" x14ac:dyDescent="0.15">
      <c r="B208" s="48"/>
      <c r="D208" s="21" t="s">
        <v>465</v>
      </c>
      <c r="E208" s="4" t="s">
        <v>466</v>
      </c>
      <c r="F208" s="5">
        <v>13344.77</v>
      </c>
      <c r="G208" s="6">
        <v>7813</v>
      </c>
      <c r="H208" s="6">
        <v>704</v>
      </c>
      <c r="I208" s="6">
        <v>351</v>
      </c>
      <c r="J208" s="15">
        <v>1.251070090706528E-3</v>
      </c>
    </row>
    <row r="209" spans="2:10" ht="18" customHeight="1" x14ac:dyDescent="0.15">
      <c r="B209" s="48"/>
      <c r="D209" s="22" t="s">
        <v>467</v>
      </c>
      <c r="E209" s="8" t="s">
        <v>468</v>
      </c>
      <c r="F209" s="9">
        <v>13303.02</v>
      </c>
      <c r="G209" s="10">
        <v>2221</v>
      </c>
      <c r="H209" s="10">
        <v>372</v>
      </c>
      <c r="I209" s="10">
        <v>271</v>
      </c>
      <c r="J209" s="18">
        <v>1.247156034766486E-3</v>
      </c>
    </row>
    <row r="210" spans="2:10" ht="18" customHeight="1" x14ac:dyDescent="0.15">
      <c r="B210" s="48"/>
      <c r="D210" s="21" t="s">
        <v>469</v>
      </c>
      <c r="E210" s="4" t="s">
        <v>470</v>
      </c>
      <c r="F210" s="5">
        <v>13284.49</v>
      </c>
      <c r="G210" s="6">
        <v>2845</v>
      </c>
      <c r="H210" s="6">
        <v>405</v>
      </c>
      <c r="I210" s="6">
        <v>195</v>
      </c>
      <c r="J210" s="15">
        <v>1.2454188501780071E-3</v>
      </c>
    </row>
    <row r="211" spans="2:10" ht="18" customHeight="1" x14ac:dyDescent="0.15">
      <c r="B211" s="48"/>
      <c r="D211" s="22" t="s">
        <v>471</v>
      </c>
      <c r="E211" s="8" t="s">
        <v>472</v>
      </c>
      <c r="F211" s="9">
        <v>12805.33</v>
      </c>
      <c r="G211" s="10">
        <v>3231</v>
      </c>
      <c r="H211" s="10">
        <v>561</v>
      </c>
      <c r="I211" s="10">
        <v>337</v>
      </c>
      <c r="J211" s="18">
        <v>1.2004976754658959E-3</v>
      </c>
    </row>
    <row r="212" spans="2:10" ht="18" customHeight="1" x14ac:dyDescent="0.15">
      <c r="B212" s="48"/>
      <c r="D212" s="21" t="s">
        <v>473</v>
      </c>
      <c r="E212" s="4" t="s">
        <v>474</v>
      </c>
      <c r="F212" s="5">
        <v>12792.25</v>
      </c>
      <c r="G212" s="6">
        <v>2091</v>
      </c>
      <c r="H212" s="6">
        <v>407</v>
      </c>
      <c r="I212" s="6">
        <v>217</v>
      </c>
      <c r="J212" s="15">
        <v>1.199271427521088E-3</v>
      </c>
    </row>
    <row r="213" spans="2:10" ht="18" customHeight="1" x14ac:dyDescent="0.15">
      <c r="B213" s="48"/>
      <c r="D213" s="22" t="s">
        <v>475</v>
      </c>
      <c r="E213" s="8" t="s">
        <v>476</v>
      </c>
      <c r="F213" s="9">
        <v>12671.06</v>
      </c>
      <c r="G213" s="10">
        <v>2110</v>
      </c>
      <c r="H213" s="10">
        <v>506</v>
      </c>
      <c r="I213" s="10">
        <v>311</v>
      </c>
      <c r="J213" s="18">
        <v>1.1879098840630339E-3</v>
      </c>
    </row>
    <row r="214" spans="2:10" ht="18" customHeight="1" x14ac:dyDescent="0.15">
      <c r="B214" s="48"/>
      <c r="D214" s="21" t="s">
        <v>477</v>
      </c>
      <c r="E214" s="4" t="s">
        <v>478</v>
      </c>
      <c r="F214" s="5">
        <v>12642.93</v>
      </c>
      <c r="G214" s="6">
        <v>1748</v>
      </c>
      <c r="H214" s="6">
        <v>385</v>
      </c>
      <c r="I214" s="6">
        <v>235</v>
      </c>
      <c r="J214" s="15">
        <v>1.1852727009829529E-3</v>
      </c>
    </row>
    <row r="215" spans="2:10" ht="18" customHeight="1" x14ac:dyDescent="0.15">
      <c r="B215" s="48"/>
      <c r="D215" s="22" t="s">
        <v>479</v>
      </c>
      <c r="E215" s="8" t="s">
        <v>480</v>
      </c>
      <c r="F215" s="9">
        <v>12614.17</v>
      </c>
      <c r="G215" s="10">
        <v>1770</v>
      </c>
      <c r="H215" s="10">
        <v>383</v>
      </c>
      <c r="I215" s="10">
        <v>239</v>
      </c>
      <c r="J215" s="18">
        <v>1.1825764555018609E-3</v>
      </c>
    </row>
    <row r="216" spans="2:10" ht="18" customHeight="1" x14ac:dyDescent="0.15">
      <c r="B216" s="48"/>
      <c r="D216" s="21" t="s">
        <v>481</v>
      </c>
      <c r="E216" s="4" t="s">
        <v>482</v>
      </c>
      <c r="F216" s="5">
        <v>12572.71</v>
      </c>
      <c r="G216" s="6">
        <v>2034</v>
      </c>
      <c r="H216" s="6">
        <v>629</v>
      </c>
      <c r="I216" s="6">
        <v>337</v>
      </c>
      <c r="J216" s="15">
        <v>1.1786895870162519E-3</v>
      </c>
    </row>
    <row r="217" spans="2:10" ht="18" customHeight="1" x14ac:dyDescent="0.15">
      <c r="B217" s="48"/>
      <c r="D217" s="22" t="s">
        <v>483</v>
      </c>
      <c r="E217" s="8" t="s">
        <v>484</v>
      </c>
      <c r="F217" s="9">
        <v>12571.37</v>
      </c>
      <c r="G217" s="10">
        <v>1331</v>
      </c>
      <c r="H217" s="10">
        <v>358</v>
      </c>
      <c r="I217" s="10">
        <v>224</v>
      </c>
      <c r="J217" s="18">
        <v>1.178563962226799E-3</v>
      </c>
    </row>
    <row r="218" spans="2:10" ht="18" customHeight="1" x14ac:dyDescent="0.15">
      <c r="B218" s="48"/>
      <c r="D218" s="21" t="s">
        <v>485</v>
      </c>
      <c r="E218" s="4" t="s">
        <v>486</v>
      </c>
      <c r="F218" s="5">
        <v>12552.4</v>
      </c>
      <c r="G218" s="6">
        <v>9798</v>
      </c>
      <c r="H218" s="6">
        <v>722</v>
      </c>
      <c r="I218" s="6">
        <v>230</v>
      </c>
      <c r="J218" s="15">
        <v>1.1767855277074551E-3</v>
      </c>
    </row>
    <row r="219" spans="2:10" ht="18" customHeight="1" x14ac:dyDescent="0.15">
      <c r="B219" s="48"/>
      <c r="D219" s="22" t="s">
        <v>487</v>
      </c>
      <c r="E219" s="8" t="s">
        <v>488</v>
      </c>
      <c r="F219" s="9">
        <v>12515.96</v>
      </c>
      <c r="G219" s="10">
        <v>14528</v>
      </c>
      <c r="H219" s="10">
        <v>926</v>
      </c>
      <c r="I219" s="10">
        <v>449</v>
      </c>
      <c r="J219" s="18">
        <v>1.1733692834330811E-3</v>
      </c>
    </row>
    <row r="220" spans="2:10" ht="18" customHeight="1" x14ac:dyDescent="0.15">
      <c r="B220" s="48"/>
      <c r="D220" s="21" t="s">
        <v>489</v>
      </c>
      <c r="E220" s="4" t="s">
        <v>490</v>
      </c>
      <c r="F220" s="5">
        <v>12487.17</v>
      </c>
      <c r="G220" s="6">
        <v>4871</v>
      </c>
      <c r="H220" s="6">
        <v>189</v>
      </c>
      <c r="I220" s="6">
        <v>123</v>
      </c>
      <c r="J220" s="15">
        <v>1.1706702254567021E-3</v>
      </c>
    </row>
    <row r="221" spans="2:10" ht="18" customHeight="1" x14ac:dyDescent="0.15">
      <c r="B221" s="48"/>
      <c r="D221" s="22" t="s">
        <v>491</v>
      </c>
      <c r="E221" s="8" t="s">
        <v>492</v>
      </c>
      <c r="F221" s="9">
        <v>12440.14</v>
      </c>
      <c r="G221" s="10">
        <v>3380</v>
      </c>
      <c r="H221" s="10">
        <v>470</v>
      </c>
      <c r="I221" s="10">
        <v>244</v>
      </c>
      <c r="J221" s="18">
        <v>1.166261170346279E-3</v>
      </c>
    </row>
    <row r="222" spans="2:10" ht="18" customHeight="1" x14ac:dyDescent="0.15">
      <c r="B222" s="48"/>
      <c r="D222" s="21" t="s">
        <v>493</v>
      </c>
      <c r="E222" s="4" t="s">
        <v>494</v>
      </c>
      <c r="F222" s="5">
        <v>12383.83</v>
      </c>
      <c r="G222" s="6">
        <v>875</v>
      </c>
      <c r="H222" s="6">
        <v>454</v>
      </c>
      <c r="I222" s="6">
        <v>189</v>
      </c>
      <c r="J222" s="15">
        <v>1.160982116693972E-3</v>
      </c>
    </row>
    <row r="223" spans="2:10" ht="18" customHeight="1" x14ac:dyDescent="0.15">
      <c r="B223" s="48"/>
      <c r="D223" s="22" t="s">
        <v>495</v>
      </c>
      <c r="E223" s="8" t="s">
        <v>496</v>
      </c>
      <c r="F223" s="9">
        <v>12373.88</v>
      </c>
      <c r="G223" s="10">
        <v>6078</v>
      </c>
      <c r="H223" s="10">
        <v>547</v>
      </c>
      <c r="I223" s="10">
        <v>337</v>
      </c>
      <c r="J223" s="18">
        <v>1.1600493057573641E-3</v>
      </c>
    </row>
    <row r="224" spans="2:10" ht="18" customHeight="1" x14ac:dyDescent="0.15">
      <c r="B224" s="48"/>
      <c r="D224" s="21" t="s">
        <v>497</v>
      </c>
      <c r="E224" s="4" t="s">
        <v>498</v>
      </c>
      <c r="F224" s="5">
        <v>12350.73</v>
      </c>
      <c r="G224" s="6">
        <v>3057</v>
      </c>
      <c r="H224" s="6">
        <v>322</v>
      </c>
      <c r="I224" s="6">
        <v>190</v>
      </c>
      <c r="J224" s="15">
        <v>1.1578789968948011E-3</v>
      </c>
    </row>
    <row r="225" spans="2:10" ht="18" customHeight="1" x14ac:dyDescent="0.15">
      <c r="B225" s="48"/>
      <c r="D225" s="22" t="s">
        <v>499</v>
      </c>
      <c r="E225" s="8" t="s">
        <v>500</v>
      </c>
      <c r="F225" s="9">
        <v>12245.02</v>
      </c>
      <c r="G225" s="10">
        <v>24854</v>
      </c>
      <c r="H225" s="10">
        <v>869</v>
      </c>
      <c r="I225" s="10">
        <v>410</v>
      </c>
      <c r="J225" s="18">
        <v>1.147968701004457E-3</v>
      </c>
    </row>
    <row r="226" spans="2:10" ht="18" customHeight="1" x14ac:dyDescent="0.15">
      <c r="B226" s="48"/>
      <c r="D226" s="21" t="s">
        <v>501</v>
      </c>
      <c r="E226" s="4" t="s">
        <v>502</v>
      </c>
      <c r="F226" s="5">
        <v>12114.97</v>
      </c>
      <c r="G226" s="6">
        <v>2065</v>
      </c>
      <c r="H226" s="6">
        <v>287</v>
      </c>
      <c r="I226" s="6">
        <v>163</v>
      </c>
      <c r="J226" s="15">
        <v>1.135776533938529E-3</v>
      </c>
    </row>
    <row r="227" spans="2:10" ht="18" customHeight="1" x14ac:dyDescent="0.15">
      <c r="B227" s="48"/>
      <c r="D227" s="22" t="s">
        <v>503</v>
      </c>
      <c r="E227" s="8" t="s">
        <v>504</v>
      </c>
      <c r="F227" s="9">
        <v>12071.92</v>
      </c>
      <c r="G227" s="10">
        <v>2327</v>
      </c>
      <c r="H227" s="10">
        <v>393</v>
      </c>
      <c r="I227" s="10">
        <v>238</v>
      </c>
      <c r="J227" s="18">
        <v>1.131740603202749E-3</v>
      </c>
    </row>
    <row r="228" spans="2:10" ht="18" customHeight="1" x14ac:dyDescent="0.15">
      <c r="B228" s="48"/>
      <c r="D228" s="21" t="s">
        <v>505</v>
      </c>
      <c r="E228" s="4" t="s">
        <v>506</v>
      </c>
      <c r="F228" s="5">
        <v>12016.34</v>
      </c>
      <c r="G228" s="6">
        <v>4514</v>
      </c>
      <c r="H228" s="6">
        <v>331</v>
      </c>
      <c r="I228" s="6">
        <v>211</v>
      </c>
      <c r="J228" s="15">
        <v>1.1265299869357419E-3</v>
      </c>
    </row>
    <row r="229" spans="2:10" ht="18" customHeight="1" x14ac:dyDescent="0.15">
      <c r="B229" s="48"/>
      <c r="D229" s="22" t="s">
        <v>507</v>
      </c>
      <c r="E229" s="8" t="s">
        <v>508</v>
      </c>
      <c r="F229" s="9">
        <v>11971.15</v>
      </c>
      <c r="G229" s="10">
        <v>1452</v>
      </c>
      <c r="H229" s="10">
        <v>415</v>
      </c>
      <c r="I229" s="10">
        <v>239</v>
      </c>
      <c r="J229" s="18">
        <v>1.122293431536209E-3</v>
      </c>
    </row>
    <row r="230" spans="2:10" ht="18" customHeight="1" x14ac:dyDescent="0.15">
      <c r="B230" s="48"/>
      <c r="D230" s="21" t="s">
        <v>509</v>
      </c>
      <c r="E230" s="4" t="s">
        <v>510</v>
      </c>
      <c r="F230" s="5">
        <v>11944.88</v>
      </c>
      <c r="G230" s="6">
        <v>3463</v>
      </c>
      <c r="H230" s="6">
        <v>303</v>
      </c>
      <c r="I230" s="6">
        <v>196</v>
      </c>
      <c r="J230" s="15">
        <v>1.119830623163876E-3</v>
      </c>
    </row>
    <row r="231" spans="2:10" ht="18" customHeight="1" x14ac:dyDescent="0.15">
      <c r="B231" s="48"/>
      <c r="D231" s="22" t="s">
        <v>511</v>
      </c>
      <c r="E231" s="8" t="s">
        <v>512</v>
      </c>
      <c r="F231" s="9">
        <v>11937.68</v>
      </c>
      <c r="G231" s="10">
        <v>1408</v>
      </c>
      <c r="H231" s="10">
        <v>403</v>
      </c>
      <c r="I231" s="10">
        <v>183</v>
      </c>
      <c r="J231" s="18">
        <v>1.1191556242951741E-3</v>
      </c>
    </row>
    <row r="232" spans="2:10" ht="18" customHeight="1" x14ac:dyDescent="0.15">
      <c r="B232" s="48"/>
      <c r="D232" s="21" t="s">
        <v>513</v>
      </c>
      <c r="E232" s="4" t="s">
        <v>514</v>
      </c>
      <c r="F232" s="5">
        <v>11928.45</v>
      </c>
      <c r="G232" s="6">
        <v>3040</v>
      </c>
      <c r="H232" s="6">
        <v>477</v>
      </c>
      <c r="I232" s="6">
        <v>186</v>
      </c>
      <c r="J232" s="15">
        <v>1.1182903132454351E-3</v>
      </c>
    </row>
    <row r="233" spans="2:10" ht="18" customHeight="1" x14ac:dyDescent="0.15">
      <c r="B233" s="48"/>
      <c r="D233" s="22" t="s">
        <v>515</v>
      </c>
      <c r="E233" s="8" t="s">
        <v>516</v>
      </c>
      <c r="F233" s="9">
        <v>11893.23</v>
      </c>
      <c r="G233" s="10">
        <v>4089</v>
      </c>
      <c r="H233" s="10">
        <v>326</v>
      </c>
      <c r="I233" s="10">
        <v>155</v>
      </c>
      <c r="J233" s="18">
        <v>1.114988443779368E-3</v>
      </c>
    </row>
    <row r="234" spans="2:10" ht="18" customHeight="1" x14ac:dyDescent="0.15">
      <c r="B234" s="48"/>
      <c r="D234" s="21" t="s">
        <v>517</v>
      </c>
      <c r="E234" s="4" t="s">
        <v>518</v>
      </c>
      <c r="F234" s="5">
        <v>11882.57</v>
      </c>
      <c r="G234" s="6">
        <v>1403</v>
      </c>
      <c r="H234" s="6">
        <v>460</v>
      </c>
      <c r="I234" s="6">
        <v>206</v>
      </c>
      <c r="J234" s="15">
        <v>1.1139890704543181E-3</v>
      </c>
    </row>
    <row r="235" spans="2:10" ht="18" customHeight="1" x14ac:dyDescent="0.15">
      <c r="B235" s="48"/>
      <c r="D235" s="22" t="s">
        <v>519</v>
      </c>
      <c r="E235" s="8" t="s">
        <v>520</v>
      </c>
      <c r="F235" s="9">
        <v>11815.69</v>
      </c>
      <c r="G235" s="10">
        <v>6827</v>
      </c>
      <c r="H235" s="10">
        <v>758</v>
      </c>
      <c r="I235" s="10">
        <v>351</v>
      </c>
      <c r="J235" s="18">
        <v>1.1077190809628201E-3</v>
      </c>
    </row>
    <row r="236" spans="2:10" ht="18" customHeight="1" x14ac:dyDescent="0.15">
      <c r="B236" s="48"/>
      <c r="D236" s="21" t="s">
        <v>187</v>
      </c>
      <c r="E236" s="4" t="s">
        <v>521</v>
      </c>
      <c r="F236" s="5">
        <v>11807.12</v>
      </c>
      <c r="G236" s="6">
        <v>1879</v>
      </c>
      <c r="H236" s="6">
        <v>461</v>
      </c>
      <c r="I236" s="6">
        <v>175</v>
      </c>
      <c r="J236" s="15">
        <v>1.1069156448093791E-3</v>
      </c>
    </row>
    <row r="237" spans="2:10" ht="18" customHeight="1" x14ac:dyDescent="0.15">
      <c r="B237" s="48"/>
      <c r="D237" s="22" t="s">
        <v>522</v>
      </c>
      <c r="E237" s="8" t="s">
        <v>523</v>
      </c>
      <c r="F237" s="9">
        <v>11671.09</v>
      </c>
      <c r="G237" s="10">
        <v>3987</v>
      </c>
      <c r="H237" s="10">
        <v>531</v>
      </c>
      <c r="I237" s="10">
        <v>223</v>
      </c>
      <c r="J237" s="18">
        <v>1.0941628536830571E-3</v>
      </c>
    </row>
    <row r="238" spans="2:10" ht="18" customHeight="1" x14ac:dyDescent="0.15">
      <c r="B238" s="48"/>
      <c r="D238" s="21" t="s">
        <v>524</v>
      </c>
      <c r="E238" s="4" t="s">
        <v>525</v>
      </c>
      <c r="F238" s="5">
        <v>11613.03</v>
      </c>
      <c r="G238" s="6">
        <v>5035</v>
      </c>
      <c r="H238" s="6">
        <v>338</v>
      </c>
      <c r="I238" s="6">
        <v>230</v>
      </c>
      <c r="J238" s="15">
        <v>1.088719737805719E-3</v>
      </c>
    </row>
    <row r="239" spans="2:10" ht="18" customHeight="1" x14ac:dyDescent="0.15">
      <c r="B239" s="48"/>
      <c r="D239" s="22" t="s">
        <v>526</v>
      </c>
      <c r="E239" s="8" t="s">
        <v>527</v>
      </c>
      <c r="F239" s="9">
        <v>11555.56</v>
      </c>
      <c r="G239" s="10">
        <v>1524</v>
      </c>
      <c r="H239" s="10">
        <v>443</v>
      </c>
      <c r="I239" s="10">
        <v>231</v>
      </c>
      <c r="J239" s="18">
        <v>1.0833319343356779E-3</v>
      </c>
    </row>
    <row r="240" spans="2:10" ht="18" customHeight="1" x14ac:dyDescent="0.15">
      <c r="B240" s="48"/>
      <c r="D240" s="21" t="s">
        <v>528</v>
      </c>
      <c r="E240" s="4" t="s">
        <v>529</v>
      </c>
      <c r="F240" s="5">
        <v>11532.39</v>
      </c>
      <c r="G240" s="6">
        <v>1089</v>
      </c>
      <c r="H240" s="6">
        <v>344</v>
      </c>
      <c r="I240" s="6">
        <v>167</v>
      </c>
      <c r="J240" s="15">
        <v>1.0811597504762579E-3</v>
      </c>
    </row>
    <row r="241" spans="2:13" ht="18" customHeight="1" x14ac:dyDescent="0.15">
      <c r="B241" s="48"/>
      <c r="D241" s="22" t="s">
        <v>530</v>
      </c>
      <c r="E241" s="8" t="s">
        <v>531</v>
      </c>
      <c r="F241" s="9">
        <v>11479.65</v>
      </c>
      <c r="G241" s="10">
        <v>2892</v>
      </c>
      <c r="H241" s="10">
        <v>570</v>
      </c>
      <c r="I241" s="10">
        <v>241</v>
      </c>
      <c r="J241" s="18">
        <v>1.076215383763017E-3</v>
      </c>
    </row>
    <row r="242" spans="2:13" ht="18" customHeight="1" x14ac:dyDescent="0.15">
      <c r="B242" s="48"/>
      <c r="D242" s="21" t="s">
        <v>532</v>
      </c>
      <c r="E242" s="4" t="s">
        <v>533</v>
      </c>
      <c r="F242" s="5">
        <v>11466.37</v>
      </c>
      <c r="G242" s="6">
        <v>3313</v>
      </c>
      <c r="H242" s="6">
        <v>490</v>
      </c>
      <c r="I242" s="6">
        <v>253</v>
      </c>
      <c r="J242" s="15">
        <v>1.074970385849633E-3</v>
      </c>
    </row>
    <row r="243" spans="2:13" ht="18" customHeight="1" x14ac:dyDescent="0.15">
      <c r="B243" s="48"/>
      <c r="D243" s="22" t="s">
        <v>534</v>
      </c>
      <c r="E243" s="8" t="s">
        <v>535</v>
      </c>
      <c r="F243" s="9">
        <v>11420.29</v>
      </c>
      <c r="G243" s="10">
        <v>9719</v>
      </c>
      <c r="H243" s="10">
        <v>742</v>
      </c>
      <c r="I243" s="10">
        <v>220</v>
      </c>
      <c r="J243" s="18">
        <v>1.0706503930899411E-3</v>
      </c>
    </row>
    <row r="244" spans="2:13" ht="18" customHeight="1" x14ac:dyDescent="0.15">
      <c r="B244" s="48"/>
      <c r="D244" s="21" t="s">
        <v>536</v>
      </c>
      <c r="E244" s="4" t="s">
        <v>537</v>
      </c>
      <c r="F244" s="5">
        <v>11407.56</v>
      </c>
      <c r="G244" s="6">
        <v>2133</v>
      </c>
      <c r="H244" s="6">
        <v>430</v>
      </c>
      <c r="I244" s="6">
        <v>150</v>
      </c>
      <c r="J244" s="15">
        <v>1.069456957590139E-3</v>
      </c>
    </row>
    <row r="245" spans="2:13" ht="18" customHeight="1" x14ac:dyDescent="0.15">
      <c r="B245" s="48"/>
      <c r="D245" s="22" t="s">
        <v>538</v>
      </c>
      <c r="E245" s="8" t="s">
        <v>539</v>
      </c>
      <c r="F245" s="9">
        <v>11354.56</v>
      </c>
      <c r="G245" s="10">
        <v>4374</v>
      </c>
      <c r="H245" s="10">
        <v>361</v>
      </c>
      <c r="I245" s="10">
        <v>73</v>
      </c>
      <c r="J245" s="18">
        <v>1.06448821591775E-3</v>
      </c>
    </row>
    <row r="246" spans="2:13" ht="18" customHeight="1" x14ac:dyDescent="0.15">
      <c r="B246" s="48"/>
      <c r="D246" s="21" t="s">
        <v>540</v>
      </c>
      <c r="E246" s="4" t="s">
        <v>541</v>
      </c>
      <c r="F246" s="5">
        <v>11338.27</v>
      </c>
      <c r="G246" s="6">
        <v>978</v>
      </c>
      <c r="H246" s="6">
        <v>290</v>
      </c>
      <c r="I246" s="6">
        <v>179</v>
      </c>
      <c r="J246" s="15">
        <v>1.0629610309773119E-3</v>
      </c>
    </row>
    <row r="247" spans="2:13" ht="18" customHeight="1" x14ac:dyDescent="0.15">
      <c r="B247" s="48"/>
      <c r="D247" s="22" t="s">
        <v>542</v>
      </c>
      <c r="E247" s="8" t="s">
        <v>543</v>
      </c>
      <c r="F247" s="9">
        <v>11319.36</v>
      </c>
      <c r="G247" s="10">
        <v>13210</v>
      </c>
      <c r="H247" s="10">
        <v>986</v>
      </c>
      <c r="I247" s="10">
        <v>427</v>
      </c>
      <c r="J247" s="18">
        <v>1.0611882214485409E-3</v>
      </c>
    </row>
    <row r="248" spans="2:13" ht="18" customHeight="1" x14ac:dyDescent="0.15">
      <c r="B248" s="48"/>
      <c r="D248" s="21" t="s">
        <v>544</v>
      </c>
      <c r="E248" s="4" t="s">
        <v>545</v>
      </c>
      <c r="F248" s="5">
        <v>11290.12</v>
      </c>
      <c r="G248" s="6">
        <v>2382</v>
      </c>
      <c r="H248" s="6">
        <v>365</v>
      </c>
      <c r="I248" s="6">
        <v>192</v>
      </c>
      <c r="J248" s="15">
        <v>1.0584469760428681E-3</v>
      </c>
    </row>
    <row r="249" spans="2:13" ht="18" customHeight="1" x14ac:dyDescent="0.15">
      <c r="B249" s="48"/>
      <c r="D249" s="22" t="s">
        <v>546</v>
      </c>
      <c r="E249" s="8" t="s">
        <v>547</v>
      </c>
      <c r="F249" s="9">
        <v>11276.21</v>
      </c>
      <c r="G249" s="10">
        <v>782</v>
      </c>
      <c r="H249" s="10">
        <v>299</v>
      </c>
      <c r="I249" s="10">
        <v>181</v>
      </c>
      <c r="J249" s="18">
        <v>1.0571429157284729E-3</v>
      </c>
    </row>
    <row r="250" spans="2:13" ht="18" customHeight="1" x14ac:dyDescent="0.15">
      <c r="B250" s="48"/>
      <c r="D250" s="21" t="s">
        <v>548</v>
      </c>
      <c r="E250" s="4" t="s">
        <v>549</v>
      </c>
      <c r="F250" s="5">
        <v>11227.47</v>
      </c>
      <c r="G250" s="6">
        <v>3092</v>
      </c>
      <c r="H250" s="6">
        <v>386</v>
      </c>
      <c r="I250" s="6">
        <v>202</v>
      </c>
      <c r="J250" s="15">
        <v>1.0525735483867329E-3</v>
      </c>
    </row>
    <row r="251" spans="2:13" ht="18" customHeight="1" x14ac:dyDescent="0.15">
      <c r="B251" s="48"/>
      <c r="D251" s="22" t="s">
        <v>550</v>
      </c>
      <c r="E251" s="8" t="s">
        <v>551</v>
      </c>
      <c r="F251" s="9">
        <v>11117.05</v>
      </c>
      <c r="G251" s="10">
        <v>6869</v>
      </c>
      <c r="H251" s="10">
        <v>445</v>
      </c>
      <c r="I251" s="10">
        <v>224</v>
      </c>
      <c r="J251" s="18">
        <v>1.042221690736446E-3</v>
      </c>
    </row>
    <row r="252" spans="2:13" ht="18" customHeight="1" x14ac:dyDescent="0.15">
      <c r="B252" s="48"/>
    </row>
    <row r="253" spans="2:13" ht="14" x14ac:dyDescent="0.15">
      <c r="B253" s="48"/>
      <c r="D253" s="84" t="s">
        <v>552</v>
      </c>
      <c r="E253" s="56"/>
      <c r="F253" s="56"/>
      <c r="G253" s="56"/>
      <c r="H253" s="56"/>
      <c r="I253" s="56"/>
      <c r="J253" s="56"/>
      <c r="K253" s="56"/>
      <c r="L253" s="56"/>
      <c r="M253" s="56"/>
    </row>
    <row r="254" spans="2:13" ht="18" customHeight="1" x14ac:dyDescent="0.15"/>
  </sheetData>
  <mergeCells count="25">
    <mergeCell ref="B1:B2"/>
    <mergeCell ref="L4:M4"/>
    <mergeCell ref="D9:M9"/>
    <mergeCell ref="L7:M7"/>
    <mergeCell ref="F7:G7"/>
    <mergeCell ref="D5:E6"/>
    <mergeCell ref="F5:G6"/>
    <mergeCell ref="D7:E7"/>
    <mergeCell ref="D1:M2"/>
    <mergeCell ref="J4:K4"/>
    <mergeCell ref="L5:M6"/>
    <mergeCell ref="F4:G4"/>
    <mergeCell ref="D253:M253"/>
    <mergeCell ref="H5:I6"/>
    <mergeCell ref="J5:K6"/>
    <mergeCell ref="D4:E4"/>
    <mergeCell ref="E13:M13"/>
    <mergeCell ref="H4:I4"/>
    <mergeCell ref="D15:M15"/>
    <mergeCell ref="H7:I7"/>
    <mergeCell ref="J7:K7"/>
    <mergeCell ref="E12:M12"/>
    <mergeCell ref="D50:M50"/>
    <mergeCell ref="E10:M10"/>
    <mergeCell ref="E11:M11"/>
  </mergeCells>
  <hyperlinks>
    <hyperlink ref="B3" location="'Dashboard'!A1" display="1 · Dashboard" xr:uid="{00000000-0004-0000-0400-000000000000}"/>
    <hyperlink ref="B4" location="'Sales Analysis'!A1" display="2 · Sales Analysis" xr:uid="{00000000-0004-0000-0400-000001000000}"/>
    <hyperlink ref="B5" location="'Monthly Analysis'!A1" display="3 · Monthly Analysis" xr:uid="{00000000-0004-0000-0400-000002000000}"/>
    <hyperlink ref="B6" location="'Country Analysis'!A1" display="4 · Country Analysis" xr:uid="{00000000-0004-0000-0400-000003000000}"/>
    <hyperlink ref="B7" location="'Product Analysis'!A1" display="5 · Product Analysis" xr:uid="{00000000-0004-0000-0400-000004000000}"/>
    <hyperlink ref="B8" location="'Customer Analysis'!A1" display="6 · Customer Analysis" xr:uid="{00000000-0004-0000-0400-000005000000}"/>
    <hyperlink ref="B9" location="'Returns &amp; Cancellations'!A1" display="7 · Returns &amp; Cancellations" xr:uid="{00000000-0004-0000-0400-000006000000}"/>
    <hyperlink ref="B10" location="'Time Analysis'!A1" display="8 · Time Analysis" xr:uid="{00000000-0004-0000-0400-000007000000}"/>
    <hyperlink ref="B11" location="'Data Quality'!A1" display="9 · Data Quality" xr:uid="{00000000-0004-0000-0400-000008000000}"/>
    <hyperlink ref="B12" location="'Data Dictionary'!A1" display="10 · Data Dictionary" xr:uid="{00000000-0004-0000-0400-000009000000}"/>
    <hyperlink ref="B13" location="'Transaction Data'!A1" display="11 · Transaction Data" xr:uid="{00000000-0004-0000-0400-00000A000000}"/>
  </hyperlinks>
  <pageMargins left="0.75" right="0.75" top="1" bottom="1" header="0.5" footer="0.5"/>
  <pageSetup scale="45" orientation="portrait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46EB4"/>
    <pageSetUpPr fitToPage="1"/>
  </sheetPr>
  <dimension ref="B1:O554"/>
  <sheetViews>
    <sheetView showGridLines="0" zoomScaleNormal="100" workbookViewId="0">
      <pane xSplit="3" ySplit="2" topLeftCell="D3" activePane="bottomRight" state="frozen"/>
      <selection pane="topRight"/>
      <selection pane="bottomLeft"/>
      <selection pane="bottomRight" activeCell="B9" sqref="B9"/>
    </sheetView>
  </sheetViews>
  <sheetFormatPr baseColWidth="10" defaultColWidth="8.83203125" defaultRowHeight="13" x14ac:dyDescent="0.15"/>
  <cols>
    <col min="1" max="1" width="1.5" customWidth="1"/>
    <col min="2" max="2" width="26" customWidth="1"/>
    <col min="3" max="3" width="1.5" customWidth="1"/>
    <col min="4" max="15" width="13" customWidth="1"/>
  </cols>
  <sheetData>
    <row r="1" spans="2:15" ht="20" customHeight="1" x14ac:dyDescent="0.15">
      <c r="B1" s="65" t="s">
        <v>0</v>
      </c>
      <c r="D1" s="71" t="s">
        <v>553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2:15" ht="20" customHeight="1" x14ac:dyDescent="0.15">
      <c r="B2" s="56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2:15" ht="20" customHeight="1" x14ac:dyDescent="0.15">
      <c r="B3" s="51" t="s">
        <v>2</v>
      </c>
    </row>
    <row r="4" spans="2:15" ht="20" customHeight="1" x14ac:dyDescent="0.15">
      <c r="B4" s="47" t="s">
        <v>3</v>
      </c>
      <c r="D4" s="67" t="s">
        <v>554</v>
      </c>
      <c r="E4" s="75"/>
      <c r="F4" s="67" t="s">
        <v>7</v>
      </c>
      <c r="G4" s="75"/>
      <c r="H4" s="67" t="s">
        <v>555</v>
      </c>
      <c r="I4" s="75"/>
      <c r="J4" s="67" t="s">
        <v>556</v>
      </c>
      <c r="K4" s="75"/>
      <c r="L4" s="67" t="s">
        <v>557</v>
      </c>
      <c r="M4" s="75"/>
      <c r="N4" s="67" t="s">
        <v>558</v>
      </c>
      <c r="O4" s="75"/>
    </row>
    <row r="5" spans="2:15" ht="20" customHeight="1" x14ac:dyDescent="0.15">
      <c r="B5" s="47" t="s">
        <v>10</v>
      </c>
      <c r="D5" s="73">
        <f>SUM(N52:N53)</f>
        <v>4338</v>
      </c>
      <c r="E5" s="75"/>
      <c r="F5" s="87">
        <f>SUMIF(M52:M53,"Repeat",N52:N53)/SUM(N52:N53)</f>
        <v>0.65583218072844629</v>
      </c>
      <c r="G5" s="75"/>
      <c r="H5" s="87">
        <f>SUMIF(M52:M53,"Repeat",O52:O53)/SUM(O52:O53)</f>
        <v>0.93084013910715935</v>
      </c>
      <c r="I5" s="75"/>
      <c r="J5" s="64">
        <f>SUM(O52:O53)/SUM(N52:N53)</f>
        <v>2054.2664601198712</v>
      </c>
      <c r="K5" s="75"/>
      <c r="L5" s="89">
        <f>MAX(E52:E551)</f>
        <v>280206.02</v>
      </c>
      <c r="M5" s="75"/>
      <c r="N5" s="87">
        <f>SUM(E52:E61)/SUM(O52:O53)</f>
        <v>0.17261881248972172</v>
      </c>
      <c r="O5" s="75"/>
    </row>
    <row r="6" spans="2:15" ht="20" customHeight="1" x14ac:dyDescent="0.15">
      <c r="B6" s="47" t="s">
        <v>11</v>
      </c>
      <c r="D6" s="76"/>
      <c r="E6" s="75"/>
      <c r="F6" s="76"/>
      <c r="G6" s="75"/>
      <c r="H6" s="76"/>
      <c r="I6" s="75"/>
      <c r="J6" s="76"/>
      <c r="K6" s="75"/>
      <c r="L6" s="76"/>
      <c r="M6" s="75"/>
      <c r="N6" s="76"/>
      <c r="O6" s="75"/>
    </row>
    <row r="7" spans="2:15" ht="20" customHeight="1" x14ac:dyDescent="0.15">
      <c r="B7" s="47" t="s">
        <v>12</v>
      </c>
      <c r="D7" s="60" t="s">
        <v>559</v>
      </c>
      <c r="E7" s="78"/>
      <c r="F7" s="60" t="s">
        <v>560</v>
      </c>
      <c r="G7" s="78"/>
      <c r="H7" s="60" t="s">
        <v>561</v>
      </c>
      <c r="I7" s="78"/>
      <c r="J7" s="60" t="s">
        <v>562</v>
      </c>
      <c r="K7" s="78"/>
      <c r="L7" s="60" t="str">
        <f>"Customer "&amp;INDEX(D52:D551,MATCH(MAX(E52:E551),E52:E551,0))</f>
        <v>Customer 14646</v>
      </c>
      <c r="M7" s="78"/>
      <c r="N7" s="60" t="s">
        <v>561</v>
      </c>
      <c r="O7" s="78"/>
    </row>
    <row r="8" spans="2:15" ht="20" customHeight="1" x14ac:dyDescent="0.15">
      <c r="B8" s="46" t="s">
        <v>17</v>
      </c>
    </row>
    <row r="9" spans="2:15" ht="20" customHeight="1" x14ac:dyDescent="0.15">
      <c r="B9" s="47" t="s">
        <v>18</v>
      </c>
      <c r="D9" s="61" t="s">
        <v>116</v>
      </c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</row>
    <row r="10" spans="2:15" ht="20" customHeight="1" x14ac:dyDescent="0.15">
      <c r="B10" s="47" t="s">
        <v>19</v>
      </c>
      <c r="D10" s="1">
        <v>1</v>
      </c>
      <c r="E10" s="58" t="s">
        <v>563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</row>
    <row r="11" spans="2:15" ht="20" customHeight="1" x14ac:dyDescent="0.15">
      <c r="B11" s="47" t="s">
        <v>20</v>
      </c>
      <c r="D11" s="1">
        <v>2</v>
      </c>
      <c r="E11" s="58" t="s">
        <v>564</v>
      </c>
      <c r="F11" s="83"/>
      <c r="G11" s="83"/>
      <c r="H11" s="83"/>
      <c r="I11" s="83"/>
      <c r="J11" s="83"/>
      <c r="K11" s="83"/>
      <c r="L11" s="83"/>
      <c r="M11" s="83"/>
      <c r="N11" s="83"/>
      <c r="O11" s="83"/>
    </row>
    <row r="12" spans="2:15" ht="20" customHeight="1" x14ac:dyDescent="0.15">
      <c r="B12" s="47" t="s">
        <v>21</v>
      </c>
      <c r="D12" s="1">
        <v>3</v>
      </c>
      <c r="E12" s="58" t="s">
        <v>565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</row>
    <row r="13" spans="2:15" ht="20" customHeight="1" x14ac:dyDescent="0.15">
      <c r="B13" s="48" t="s">
        <v>22</v>
      </c>
      <c r="D13" s="1">
        <v>4</v>
      </c>
      <c r="E13" s="58" t="s">
        <v>566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</row>
    <row r="14" spans="2:15" ht="20" customHeight="1" x14ac:dyDescent="0.15">
      <c r="B14" s="48"/>
    </row>
    <row r="15" spans="2:15" ht="14" x14ac:dyDescent="0.15">
      <c r="B15" s="48"/>
      <c r="D15" s="63" t="s">
        <v>47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</row>
    <row r="16" spans="2:15" ht="20" customHeight="1" x14ac:dyDescent="0.15">
      <c r="B16" s="48"/>
    </row>
    <row r="17" spans="2:2" ht="14" x14ac:dyDescent="0.15">
      <c r="B17" s="48"/>
    </row>
    <row r="18" spans="2:2" ht="14" x14ac:dyDescent="0.15">
      <c r="B18" s="48"/>
    </row>
    <row r="19" spans="2:2" ht="14" x14ac:dyDescent="0.15">
      <c r="B19" s="48"/>
    </row>
    <row r="20" spans="2:2" ht="14" x14ac:dyDescent="0.15">
      <c r="B20" s="48"/>
    </row>
    <row r="21" spans="2:2" ht="14" x14ac:dyDescent="0.15">
      <c r="B21" s="48"/>
    </row>
    <row r="22" spans="2:2" ht="14" x14ac:dyDescent="0.15">
      <c r="B22" s="48"/>
    </row>
    <row r="23" spans="2:2" ht="14" x14ac:dyDescent="0.15">
      <c r="B23" s="48"/>
    </row>
    <row r="24" spans="2:2" ht="14" x14ac:dyDescent="0.15">
      <c r="B24" s="48"/>
    </row>
    <row r="25" spans="2:2" ht="14" x14ac:dyDescent="0.15">
      <c r="B25" s="48"/>
    </row>
    <row r="26" spans="2:2" ht="14" x14ac:dyDescent="0.15">
      <c r="B26" s="48"/>
    </row>
    <row r="27" spans="2:2" ht="14" x14ac:dyDescent="0.15">
      <c r="B27" s="48"/>
    </row>
    <row r="28" spans="2:2" ht="14" x14ac:dyDescent="0.15">
      <c r="B28" s="48"/>
    </row>
    <row r="29" spans="2:2" ht="14" x14ac:dyDescent="0.15">
      <c r="B29" s="48"/>
    </row>
    <row r="30" spans="2:2" ht="14" x14ac:dyDescent="0.15">
      <c r="B30" s="48"/>
    </row>
    <row r="31" spans="2:2" ht="14" x14ac:dyDescent="0.15">
      <c r="B31" s="48"/>
    </row>
    <row r="32" spans="2:2" ht="14" x14ac:dyDescent="0.15">
      <c r="B32" s="48"/>
    </row>
    <row r="33" spans="2:2" ht="14" x14ac:dyDescent="0.15">
      <c r="B33" s="48"/>
    </row>
    <row r="34" spans="2:2" ht="14" x14ac:dyDescent="0.15">
      <c r="B34" s="48"/>
    </row>
    <row r="35" spans="2:2" ht="14" x14ac:dyDescent="0.15">
      <c r="B35" s="48"/>
    </row>
    <row r="36" spans="2:2" ht="14" x14ac:dyDescent="0.15">
      <c r="B36" s="48"/>
    </row>
    <row r="37" spans="2:2" ht="14" x14ac:dyDescent="0.15">
      <c r="B37" s="48"/>
    </row>
    <row r="38" spans="2:2" ht="14" x14ac:dyDescent="0.15">
      <c r="B38" s="48"/>
    </row>
    <row r="39" spans="2:2" ht="14" x14ac:dyDescent="0.15">
      <c r="B39" s="48"/>
    </row>
    <row r="40" spans="2:2" ht="14" x14ac:dyDescent="0.15">
      <c r="B40" s="48"/>
    </row>
    <row r="41" spans="2:2" ht="14" x14ac:dyDescent="0.15">
      <c r="B41" s="48"/>
    </row>
    <row r="42" spans="2:2" ht="14" x14ac:dyDescent="0.15">
      <c r="B42" s="48"/>
    </row>
    <row r="43" spans="2:2" ht="14" x14ac:dyDescent="0.15">
      <c r="B43" s="48"/>
    </row>
    <row r="44" spans="2:2" ht="14" x14ac:dyDescent="0.15">
      <c r="B44" s="48"/>
    </row>
    <row r="45" spans="2:2" ht="14" x14ac:dyDescent="0.15">
      <c r="B45" s="48"/>
    </row>
    <row r="46" spans="2:2" ht="14" x14ac:dyDescent="0.15">
      <c r="B46" s="48"/>
    </row>
    <row r="47" spans="2:2" ht="14" x14ac:dyDescent="0.15">
      <c r="B47" s="48"/>
    </row>
    <row r="48" spans="2:2" ht="14" x14ac:dyDescent="0.15">
      <c r="B48" s="48"/>
    </row>
    <row r="49" spans="2:15" ht="14" x14ac:dyDescent="0.15">
      <c r="B49" s="48"/>
    </row>
    <row r="50" spans="2:15" ht="14" x14ac:dyDescent="0.15">
      <c r="B50" s="48"/>
      <c r="D50" s="63" t="s">
        <v>567</v>
      </c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</row>
    <row r="51" spans="2:15" ht="20" customHeight="1" x14ac:dyDescent="0.15">
      <c r="B51" s="48"/>
      <c r="D51" s="3" t="s">
        <v>568</v>
      </c>
      <c r="E51" s="3" t="s">
        <v>75</v>
      </c>
      <c r="F51" s="3" t="s">
        <v>76</v>
      </c>
      <c r="G51" s="3" t="s">
        <v>77</v>
      </c>
      <c r="H51" s="3" t="s">
        <v>569</v>
      </c>
      <c r="I51" s="3" t="s">
        <v>570</v>
      </c>
      <c r="J51" s="3" t="s">
        <v>78</v>
      </c>
      <c r="K51" s="3" t="s">
        <v>571</v>
      </c>
      <c r="M51" s="14" t="s">
        <v>571</v>
      </c>
      <c r="N51" s="14" t="s">
        <v>122</v>
      </c>
      <c r="O51" s="14" t="s">
        <v>75</v>
      </c>
    </row>
    <row r="52" spans="2:15" ht="30" customHeight="1" x14ac:dyDescent="0.15">
      <c r="B52" s="48"/>
      <c r="D52" s="23">
        <v>14646</v>
      </c>
      <c r="E52" s="5">
        <v>280206.02</v>
      </c>
      <c r="F52" s="6">
        <v>73</v>
      </c>
      <c r="G52" s="6">
        <v>196915</v>
      </c>
      <c r="H52" s="24">
        <v>40532.42291666667</v>
      </c>
      <c r="I52" s="24">
        <v>40885.508333333331</v>
      </c>
      <c r="J52" s="5">
        <v>3838.4386301369859</v>
      </c>
      <c r="K52" s="25" t="s">
        <v>572</v>
      </c>
      <c r="M52" s="4" t="s">
        <v>573</v>
      </c>
      <c r="N52" s="6">
        <v>1493</v>
      </c>
      <c r="O52" s="5">
        <v>616311.73100000003</v>
      </c>
    </row>
    <row r="53" spans="2:15" ht="18" customHeight="1" x14ac:dyDescent="0.15">
      <c r="B53" s="48"/>
      <c r="D53" s="26">
        <v>18102</v>
      </c>
      <c r="E53" s="9">
        <v>259657.3</v>
      </c>
      <c r="F53" s="10">
        <v>60</v>
      </c>
      <c r="G53" s="10">
        <v>64124</v>
      </c>
      <c r="H53" s="27">
        <v>40519.695833333331</v>
      </c>
      <c r="I53" s="27">
        <v>40886.493055555547</v>
      </c>
      <c r="J53" s="9">
        <v>4327.6216666666669</v>
      </c>
      <c r="K53" s="28" t="s">
        <v>572</v>
      </c>
      <c r="M53" s="4" t="s">
        <v>572</v>
      </c>
      <c r="N53" s="6">
        <v>2845</v>
      </c>
      <c r="O53" s="5">
        <v>8295096.1730000004</v>
      </c>
    </row>
    <row r="54" spans="2:15" ht="18" customHeight="1" x14ac:dyDescent="0.15">
      <c r="B54" s="48"/>
      <c r="D54" s="23">
        <v>17450</v>
      </c>
      <c r="E54" s="5">
        <v>194550.79</v>
      </c>
      <c r="F54" s="6">
        <v>46</v>
      </c>
      <c r="G54" s="6">
        <v>69993</v>
      </c>
      <c r="H54" s="24">
        <v>40519.390972222223</v>
      </c>
      <c r="I54" s="24">
        <v>40878.561805555553</v>
      </c>
      <c r="J54" s="5">
        <v>4229.3649999999998</v>
      </c>
      <c r="K54" s="25" t="s">
        <v>572</v>
      </c>
    </row>
    <row r="55" spans="2:15" ht="18" customHeight="1" x14ac:dyDescent="0.15">
      <c r="B55" s="48"/>
      <c r="D55" s="26">
        <v>16446</v>
      </c>
      <c r="E55" s="9">
        <v>168472.5</v>
      </c>
      <c r="F55" s="10">
        <v>2</v>
      </c>
      <c r="G55" s="10">
        <v>80997</v>
      </c>
      <c r="H55" s="27">
        <v>40681.411111111112</v>
      </c>
      <c r="I55" s="27">
        <v>40886.385416666657</v>
      </c>
      <c r="J55" s="9">
        <v>84236.25</v>
      </c>
      <c r="K55" s="28" t="s">
        <v>572</v>
      </c>
      <c r="M55" s="84" t="s">
        <v>574</v>
      </c>
      <c r="N55" s="56"/>
      <c r="O55" s="56"/>
    </row>
    <row r="56" spans="2:15" ht="18" customHeight="1" x14ac:dyDescent="0.15">
      <c r="B56" s="48"/>
      <c r="D56" s="23">
        <v>14911</v>
      </c>
      <c r="E56" s="5">
        <v>143825.06</v>
      </c>
      <c r="F56" s="6">
        <v>201</v>
      </c>
      <c r="G56" s="6">
        <v>80265</v>
      </c>
      <c r="H56" s="24">
        <v>40513.586805555547</v>
      </c>
      <c r="I56" s="24">
        <v>40885.662499999999</v>
      </c>
      <c r="J56" s="5">
        <v>715.5475621890547</v>
      </c>
      <c r="K56" s="25" t="s">
        <v>572</v>
      </c>
    </row>
    <row r="57" spans="2:15" ht="18" customHeight="1" x14ac:dyDescent="0.15">
      <c r="B57" s="48"/>
      <c r="D57" s="26">
        <v>12415</v>
      </c>
      <c r="E57" s="9">
        <v>124914.53</v>
      </c>
      <c r="F57" s="10">
        <v>21</v>
      </c>
      <c r="G57" s="10">
        <v>77374</v>
      </c>
      <c r="H57" s="27">
        <v>40549.466666666667</v>
      </c>
      <c r="I57" s="27">
        <v>40862.598611111112</v>
      </c>
      <c r="J57" s="9">
        <v>5948.3109523809526</v>
      </c>
      <c r="K57" s="28" t="s">
        <v>572</v>
      </c>
    </row>
    <row r="58" spans="2:15" ht="18" customHeight="1" x14ac:dyDescent="0.15">
      <c r="B58" s="48"/>
      <c r="D58" s="23">
        <v>14156</v>
      </c>
      <c r="E58" s="5">
        <v>117379.63</v>
      </c>
      <c r="F58" s="6">
        <v>55</v>
      </c>
      <c r="G58" s="6">
        <v>57885</v>
      </c>
      <c r="H58" s="24">
        <v>40515.491666666669</v>
      </c>
      <c r="I58" s="24">
        <v>40877.45416666667</v>
      </c>
      <c r="J58" s="5">
        <v>2134.1750909090911</v>
      </c>
      <c r="K58" s="25" t="s">
        <v>572</v>
      </c>
    </row>
    <row r="59" spans="2:15" ht="18" customHeight="1" x14ac:dyDescent="0.15">
      <c r="B59" s="48"/>
      <c r="D59" s="26">
        <v>17511</v>
      </c>
      <c r="E59" s="9">
        <v>91062.38</v>
      </c>
      <c r="F59" s="10">
        <v>31</v>
      </c>
      <c r="G59" s="10">
        <v>64549</v>
      </c>
      <c r="H59" s="27">
        <v>40513.429861111108</v>
      </c>
      <c r="I59" s="27">
        <v>40884.425000000003</v>
      </c>
      <c r="J59" s="9">
        <v>2937.4961290322581</v>
      </c>
      <c r="K59" s="28" t="s">
        <v>572</v>
      </c>
    </row>
    <row r="60" spans="2:15" ht="18" customHeight="1" x14ac:dyDescent="0.15">
      <c r="B60" s="48"/>
      <c r="D60" s="23">
        <v>16029</v>
      </c>
      <c r="E60" s="5">
        <v>81024.84</v>
      </c>
      <c r="F60" s="6">
        <v>63</v>
      </c>
      <c r="G60" s="6">
        <v>40208</v>
      </c>
      <c r="H60" s="24">
        <v>40513.414583333331</v>
      </c>
      <c r="I60" s="24">
        <v>40848.435416666667</v>
      </c>
      <c r="J60" s="5">
        <v>1286.1085714285709</v>
      </c>
      <c r="K60" s="25" t="s">
        <v>572</v>
      </c>
    </row>
    <row r="61" spans="2:15" ht="18" customHeight="1" x14ac:dyDescent="0.15">
      <c r="B61" s="48"/>
      <c r="D61" s="26">
        <v>12346</v>
      </c>
      <c r="E61" s="9">
        <v>77183.600000000006</v>
      </c>
      <c r="F61" s="10">
        <v>1</v>
      </c>
      <c r="G61" s="10">
        <v>74215</v>
      </c>
      <c r="H61" s="27">
        <v>40561.417361111111</v>
      </c>
      <c r="I61" s="27">
        <v>40561.417361111111</v>
      </c>
      <c r="J61" s="9">
        <v>77183.600000000006</v>
      </c>
      <c r="K61" s="28" t="s">
        <v>573</v>
      </c>
    </row>
    <row r="62" spans="2:15" ht="18" customHeight="1" x14ac:dyDescent="0.15">
      <c r="B62" s="48"/>
      <c r="D62" s="23">
        <v>16684</v>
      </c>
      <c r="E62" s="5">
        <v>66653.56</v>
      </c>
      <c r="F62" s="6">
        <v>28</v>
      </c>
      <c r="G62" s="6">
        <v>50255</v>
      </c>
      <c r="H62" s="24">
        <v>40528.731944444437</v>
      </c>
      <c r="I62" s="24">
        <v>40882.587500000001</v>
      </c>
      <c r="J62" s="5">
        <v>2380.4842857142862</v>
      </c>
      <c r="K62" s="25" t="s">
        <v>572</v>
      </c>
    </row>
    <row r="63" spans="2:15" ht="18" customHeight="1" x14ac:dyDescent="0.15">
      <c r="B63" s="48"/>
      <c r="D63" s="26">
        <v>14096</v>
      </c>
      <c r="E63" s="9">
        <v>65164.79</v>
      </c>
      <c r="F63" s="10">
        <v>17</v>
      </c>
      <c r="G63" s="10">
        <v>16352</v>
      </c>
      <c r="H63" s="27">
        <v>40785.450694444437</v>
      </c>
      <c r="I63" s="27">
        <v>40882.720138888893</v>
      </c>
      <c r="J63" s="9">
        <v>3833.2229411764711</v>
      </c>
      <c r="K63" s="28" t="s">
        <v>572</v>
      </c>
    </row>
    <row r="64" spans="2:15" ht="18" customHeight="1" x14ac:dyDescent="0.15">
      <c r="B64" s="48"/>
      <c r="D64" s="23">
        <v>13694</v>
      </c>
      <c r="E64" s="5">
        <v>65039.62</v>
      </c>
      <c r="F64" s="6">
        <v>50</v>
      </c>
      <c r="G64" s="6">
        <v>63312</v>
      </c>
      <c r="H64" s="24">
        <v>40513.508333333331</v>
      </c>
      <c r="I64" s="24">
        <v>40883.397222222222</v>
      </c>
      <c r="J64" s="5">
        <v>1300.7924</v>
      </c>
      <c r="K64" s="25" t="s">
        <v>572</v>
      </c>
    </row>
    <row r="65" spans="2:11" ht="18" customHeight="1" x14ac:dyDescent="0.15">
      <c r="B65" s="48"/>
      <c r="D65" s="26">
        <v>15311</v>
      </c>
      <c r="E65" s="9">
        <v>60767.9</v>
      </c>
      <c r="F65" s="10">
        <v>91</v>
      </c>
      <c r="G65" s="10">
        <v>38194</v>
      </c>
      <c r="H65" s="27">
        <v>40513.40347222222</v>
      </c>
      <c r="I65" s="27">
        <v>40886.5</v>
      </c>
      <c r="J65" s="9">
        <v>667.77912087912091</v>
      </c>
      <c r="K65" s="28" t="s">
        <v>572</v>
      </c>
    </row>
    <row r="66" spans="2:11" ht="18" customHeight="1" x14ac:dyDescent="0.15">
      <c r="B66" s="48"/>
      <c r="D66" s="23">
        <v>13089</v>
      </c>
      <c r="E66" s="5">
        <v>58825.83</v>
      </c>
      <c r="F66" s="6">
        <v>97</v>
      </c>
      <c r="G66" s="6">
        <v>31070</v>
      </c>
      <c r="H66" s="24">
        <v>40517.435416666667</v>
      </c>
      <c r="I66" s="24">
        <v>40884.376388888893</v>
      </c>
      <c r="J66" s="5">
        <v>606.4518556701031</v>
      </c>
      <c r="K66" s="25" t="s">
        <v>572</v>
      </c>
    </row>
    <row r="67" spans="2:11" ht="18" customHeight="1" x14ac:dyDescent="0.15">
      <c r="B67" s="48"/>
      <c r="D67" s="26">
        <v>17949</v>
      </c>
      <c r="E67" s="9">
        <v>58510.48</v>
      </c>
      <c r="F67" s="10">
        <v>45</v>
      </c>
      <c r="G67" s="10">
        <v>30546</v>
      </c>
      <c r="H67" s="27">
        <v>40515.550000000003</v>
      </c>
      <c r="I67" s="27">
        <v>40885.781944444447</v>
      </c>
      <c r="J67" s="9">
        <v>1300.232888888889</v>
      </c>
      <c r="K67" s="28" t="s">
        <v>572</v>
      </c>
    </row>
    <row r="68" spans="2:11" ht="18" customHeight="1" x14ac:dyDescent="0.15">
      <c r="B68" s="48"/>
      <c r="D68" s="23">
        <v>15769</v>
      </c>
      <c r="E68" s="5">
        <v>56252.72</v>
      </c>
      <c r="F68" s="6">
        <v>26</v>
      </c>
      <c r="G68" s="6">
        <v>29672</v>
      </c>
      <c r="H68" s="24">
        <v>40515.636111111111</v>
      </c>
      <c r="I68" s="24">
        <v>40879.577777777777</v>
      </c>
      <c r="J68" s="5">
        <v>2163.5661538461541</v>
      </c>
      <c r="K68" s="25" t="s">
        <v>572</v>
      </c>
    </row>
    <row r="69" spans="2:11" ht="18" customHeight="1" x14ac:dyDescent="0.15">
      <c r="B69" s="48"/>
      <c r="D69" s="26">
        <v>15061</v>
      </c>
      <c r="E69" s="9">
        <v>54534.14</v>
      </c>
      <c r="F69" s="10">
        <v>48</v>
      </c>
      <c r="G69" s="10">
        <v>28920</v>
      </c>
      <c r="H69" s="27">
        <v>40514.638194444437</v>
      </c>
      <c r="I69" s="27">
        <v>40883.504166666673</v>
      </c>
      <c r="J69" s="9">
        <v>1136.127916666667</v>
      </c>
      <c r="K69" s="28" t="s">
        <v>572</v>
      </c>
    </row>
    <row r="70" spans="2:11" ht="18" customHeight="1" x14ac:dyDescent="0.15">
      <c r="B70" s="48"/>
      <c r="D70" s="23">
        <v>14298</v>
      </c>
      <c r="E70" s="5">
        <v>51527.3</v>
      </c>
      <c r="F70" s="6">
        <v>44</v>
      </c>
      <c r="G70" s="6">
        <v>58343</v>
      </c>
      <c r="H70" s="24">
        <v>40526.540972222218</v>
      </c>
      <c r="I70" s="24">
        <v>40878.550000000003</v>
      </c>
      <c r="J70" s="5">
        <v>1171.075</v>
      </c>
      <c r="K70" s="25" t="s">
        <v>572</v>
      </c>
    </row>
    <row r="71" spans="2:11" ht="18" customHeight="1" x14ac:dyDescent="0.15">
      <c r="B71" s="48"/>
      <c r="D71" s="26">
        <v>14088</v>
      </c>
      <c r="E71" s="9">
        <v>50491.81</v>
      </c>
      <c r="F71" s="10">
        <v>13</v>
      </c>
      <c r="G71" s="10">
        <v>12665</v>
      </c>
      <c r="H71" s="27">
        <v>40564.546527777777</v>
      </c>
      <c r="I71" s="27">
        <v>40876.677777777782</v>
      </c>
      <c r="J71" s="9">
        <v>3883.9853846153851</v>
      </c>
      <c r="K71" s="28" t="s">
        <v>572</v>
      </c>
    </row>
    <row r="72" spans="2:11" ht="18" customHeight="1" x14ac:dyDescent="0.15">
      <c r="B72" s="48"/>
      <c r="D72" s="23">
        <v>15749</v>
      </c>
      <c r="E72" s="5">
        <v>44534.3</v>
      </c>
      <c r="F72" s="6">
        <v>3</v>
      </c>
      <c r="G72" s="6">
        <v>18028</v>
      </c>
      <c r="H72" s="24">
        <v>40554.538194444453</v>
      </c>
      <c r="I72" s="24">
        <v>40651.555555555547</v>
      </c>
      <c r="J72" s="5">
        <v>14844.76666666667</v>
      </c>
      <c r="K72" s="25" t="s">
        <v>572</v>
      </c>
    </row>
    <row r="73" spans="2:11" ht="18" customHeight="1" x14ac:dyDescent="0.15">
      <c r="B73" s="48"/>
      <c r="D73" s="26">
        <v>12931</v>
      </c>
      <c r="E73" s="9">
        <v>42055.96</v>
      </c>
      <c r="F73" s="10">
        <v>15</v>
      </c>
      <c r="G73" s="10">
        <v>28004</v>
      </c>
      <c r="H73" s="27">
        <v>40529.40625</v>
      </c>
      <c r="I73" s="27">
        <v>40865.527083333327</v>
      </c>
      <c r="J73" s="9">
        <v>2803.7306666666668</v>
      </c>
      <c r="K73" s="28" t="s">
        <v>572</v>
      </c>
    </row>
    <row r="74" spans="2:11" ht="18" customHeight="1" x14ac:dyDescent="0.15">
      <c r="B74" s="48"/>
      <c r="D74" s="23">
        <v>17841</v>
      </c>
      <c r="E74" s="5">
        <v>40991.57</v>
      </c>
      <c r="F74" s="6">
        <v>124</v>
      </c>
      <c r="G74" s="6">
        <v>23071</v>
      </c>
      <c r="H74" s="24">
        <v>40513.611805555563</v>
      </c>
      <c r="I74" s="24">
        <v>40885.504861111112</v>
      </c>
      <c r="J74" s="5">
        <v>330.57717741935483</v>
      </c>
      <c r="K74" s="25" t="s">
        <v>572</v>
      </c>
    </row>
    <row r="75" spans="2:11" ht="18" customHeight="1" x14ac:dyDescent="0.15">
      <c r="B75" s="48"/>
      <c r="D75" s="26">
        <v>15098</v>
      </c>
      <c r="E75" s="9">
        <v>39916.5</v>
      </c>
      <c r="F75" s="10">
        <v>3</v>
      </c>
      <c r="G75" s="10">
        <v>121</v>
      </c>
      <c r="H75" s="27">
        <v>40704.640277777777</v>
      </c>
      <c r="I75" s="27">
        <v>40704.647916666669</v>
      </c>
      <c r="J75" s="9">
        <v>13305.5</v>
      </c>
      <c r="K75" s="28" t="s">
        <v>572</v>
      </c>
    </row>
    <row r="76" spans="2:11" ht="18" customHeight="1" x14ac:dyDescent="0.15">
      <c r="B76" s="48"/>
      <c r="D76" s="23">
        <v>13798</v>
      </c>
      <c r="E76" s="5">
        <v>37153.85</v>
      </c>
      <c r="F76" s="6">
        <v>57</v>
      </c>
      <c r="G76" s="6">
        <v>23948</v>
      </c>
      <c r="H76" s="24">
        <v>40514.724999999999</v>
      </c>
      <c r="I76" s="24">
        <v>40885.660416666673</v>
      </c>
      <c r="J76" s="5">
        <v>651.82192982456138</v>
      </c>
      <c r="K76" s="25" t="s">
        <v>572</v>
      </c>
    </row>
    <row r="77" spans="2:11" ht="18" customHeight="1" x14ac:dyDescent="0.15">
      <c r="B77" s="48"/>
      <c r="D77" s="26">
        <v>16013</v>
      </c>
      <c r="E77" s="9">
        <v>37130.6</v>
      </c>
      <c r="F77" s="10">
        <v>47</v>
      </c>
      <c r="G77" s="10">
        <v>15536</v>
      </c>
      <c r="H77" s="27">
        <v>40515.54791666667</v>
      </c>
      <c r="I77" s="27">
        <v>40883.441666666673</v>
      </c>
      <c r="J77" s="9">
        <v>790.01276595744673</v>
      </c>
      <c r="K77" s="28" t="s">
        <v>572</v>
      </c>
    </row>
    <row r="78" spans="2:11" ht="18" customHeight="1" x14ac:dyDescent="0.15">
      <c r="B78" s="48"/>
      <c r="D78" s="23">
        <v>16422</v>
      </c>
      <c r="E78" s="5">
        <v>34684.400000000001</v>
      </c>
      <c r="F78" s="6">
        <v>51</v>
      </c>
      <c r="G78" s="6">
        <v>33704</v>
      </c>
      <c r="H78" s="24">
        <v>40517.649305555547</v>
      </c>
      <c r="I78" s="24">
        <v>40869.583333333343</v>
      </c>
      <c r="J78" s="5">
        <v>680.08627450980396</v>
      </c>
      <c r="K78" s="25" t="s">
        <v>572</v>
      </c>
    </row>
    <row r="79" spans="2:11" ht="18" customHeight="1" x14ac:dyDescent="0.15">
      <c r="B79" s="48"/>
      <c r="D79" s="26">
        <v>12748</v>
      </c>
      <c r="E79" s="9">
        <v>33719.730000000003</v>
      </c>
      <c r="F79" s="10">
        <v>209</v>
      </c>
      <c r="G79" s="10">
        <v>25747</v>
      </c>
      <c r="H79" s="27">
        <v>40513.533333333333</v>
      </c>
      <c r="I79" s="27">
        <v>40886.513888888891</v>
      </c>
      <c r="J79" s="9">
        <v>161.33842105263159</v>
      </c>
      <c r="K79" s="28" t="s">
        <v>572</v>
      </c>
    </row>
    <row r="80" spans="2:11" ht="18" customHeight="1" x14ac:dyDescent="0.15">
      <c r="B80" s="48"/>
      <c r="D80" s="23">
        <v>15838</v>
      </c>
      <c r="E80" s="5">
        <v>33643.08</v>
      </c>
      <c r="F80" s="6">
        <v>19</v>
      </c>
      <c r="G80" s="6">
        <v>18368</v>
      </c>
      <c r="H80" s="24">
        <v>40519.476388888892</v>
      </c>
      <c r="I80" s="24">
        <v>40875.583333333343</v>
      </c>
      <c r="J80" s="5">
        <v>1770.6884210526321</v>
      </c>
      <c r="K80" s="25" t="s">
        <v>572</v>
      </c>
    </row>
    <row r="81" spans="2:11" ht="18" customHeight="1" x14ac:dyDescent="0.15">
      <c r="B81" s="48"/>
      <c r="D81" s="26">
        <v>17404</v>
      </c>
      <c r="E81" s="9">
        <v>31906.82</v>
      </c>
      <c r="F81" s="10">
        <v>15</v>
      </c>
      <c r="G81" s="10">
        <v>32748</v>
      </c>
      <c r="H81" s="27">
        <v>40526.561111111107</v>
      </c>
      <c r="I81" s="27">
        <v>40882.68472222222</v>
      </c>
      <c r="J81" s="9">
        <v>2127.121333333333</v>
      </c>
      <c r="K81" s="28" t="s">
        <v>572</v>
      </c>
    </row>
    <row r="82" spans="2:11" ht="18" customHeight="1" x14ac:dyDescent="0.15">
      <c r="B82" s="48"/>
      <c r="D82" s="23">
        <v>17389</v>
      </c>
      <c r="E82" s="5">
        <v>31833.68</v>
      </c>
      <c r="F82" s="6">
        <v>34</v>
      </c>
      <c r="G82" s="6">
        <v>7612</v>
      </c>
      <c r="H82" s="24">
        <v>40555.658333333333</v>
      </c>
      <c r="I82" s="24">
        <v>40886.401388888888</v>
      </c>
      <c r="J82" s="5">
        <v>936.28470588235291</v>
      </c>
      <c r="K82" s="25" t="s">
        <v>572</v>
      </c>
    </row>
    <row r="83" spans="2:11" ht="18" customHeight="1" x14ac:dyDescent="0.15">
      <c r="B83" s="48"/>
      <c r="D83" s="26">
        <v>13098</v>
      </c>
      <c r="E83" s="9">
        <v>28882.44</v>
      </c>
      <c r="F83" s="10">
        <v>28</v>
      </c>
      <c r="G83" s="10">
        <v>15968</v>
      </c>
      <c r="H83" s="27">
        <v>40569.573611111111</v>
      </c>
      <c r="I83" s="27">
        <v>40885.593055555553</v>
      </c>
      <c r="J83" s="9">
        <v>1031.515714285714</v>
      </c>
      <c r="K83" s="28" t="s">
        <v>572</v>
      </c>
    </row>
    <row r="84" spans="2:11" ht="18" customHeight="1" x14ac:dyDescent="0.15">
      <c r="B84" s="48"/>
      <c r="D84" s="23">
        <v>14680</v>
      </c>
      <c r="E84" s="5">
        <v>28754.11</v>
      </c>
      <c r="F84" s="6">
        <v>16</v>
      </c>
      <c r="G84" s="6">
        <v>13476</v>
      </c>
      <c r="H84" s="24">
        <v>40515.503472222219</v>
      </c>
      <c r="I84" s="24">
        <v>40861.707638888889</v>
      </c>
      <c r="J84" s="5">
        <v>1797.131875</v>
      </c>
      <c r="K84" s="25" t="s">
        <v>572</v>
      </c>
    </row>
    <row r="85" spans="2:11" ht="18" customHeight="1" x14ac:dyDescent="0.15">
      <c r="B85" s="48"/>
      <c r="D85" s="26">
        <v>13081</v>
      </c>
      <c r="E85" s="9">
        <v>28337.38</v>
      </c>
      <c r="F85" s="10">
        <v>11</v>
      </c>
      <c r="G85" s="10">
        <v>19068</v>
      </c>
      <c r="H85" s="27">
        <v>40515.722222222219</v>
      </c>
      <c r="I85" s="27">
        <v>40875.45416666667</v>
      </c>
      <c r="J85" s="9">
        <v>2576.125454545454</v>
      </c>
      <c r="K85" s="28" t="s">
        <v>572</v>
      </c>
    </row>
    <row r="86" spans="2:11" ht="18" customHeight="1" x14ac:dyDescent="0.15">
      <c r="B86" s="48"/>
      <c r="D86" s="23">
        <v>13408</v>
      </c>
      <c r="E86" s="5">
        <v>28117.040000000001</v>
      </c>
      <c r="F86" s="6">
        <v>62</v>
      </c>
      <c r="G86" s="6">
        <v>16232</v>
      </c>
      <c r="H86" s="24">
        <v>40513.443749999999</v>
      </c>
      <c r="I86" s="24">
        <v>40885.378472222219</v>
      </c>
      <c r="J86" s="5">
        <v>453.50064516129032</v>
      </c>
      <c r="K86" s="25" t="s">
        <v>572</v>
      </c>
    </row>
    <row r="87" spans="2:11" ht="18" customHeight="1" x14ac:dyDescent="0.15">
      <c r="B87" s="48"/>
      <c r="D87" s="26">
        <v>17857</v>
      </c>
      <c r="E87" s="9">
        <v>26879.040000000001</v>
      </c>
      <c r="F87" s="10">
        <v>23</v>
      </c>
      <c r="G87" s="10">
        <v>19256</v>
      </c>
      <c r="H87" s="27">
        <v>40521.482638888891</v>
      </c>
      <c r="I87" s="27">
        <v>40882.550694444442</v>
      </c>
      <c r="J87" s="9">
        <v>1168.653913043478</v>
      </c>
      <c r="K87" s="28" t="s">
        <v>572</v>
      </c>
    </row>
    <row r="88" spans="2:11" ht="18" customHeight="1" x14ac:dyDescent="0.15">
      <c r="B88" s="48"/>
      <c r="D88" s="23">
        <v>16333</v>
      </c>
      <c r="E88" s="5">
        <v>26626.799999999999</v>
      </c>
      <c r="F88" s="6">
        <v>22</v>
      </c>
      <c r="G88" s="6">
        <v>32184</v>
      </c>
      <c r="H88" s="24">
        <v>40577.451388888891</v>
      </c>
      <c r="I88" s="24">
        <v>40879.513194444437</v>
      </c>
      <c r="J88" s="5">
        <v>1210.3090909090911</v>
      </c>
      <c r="K88" s="25" t="s">
        <v>572</v>
      </c>
    </row>
    <row r="89" spans="2:11" ht="18" customHeight="1" x14ac:dyDescent="0.15">
      <c r="B89" s="48"/>
      <c r="D89" s="26">
        <v>13777</v>
      </c>
      <c r="E89" s="9">
        <v>25977.16</v>
      </c>
      <c r="F89" s="10">
        <v>33</v>
      </c>
      <c r="G89" s="10">
        <v>12897</v>
      </c>
      <c r="H89" s="27">
        <v>40513.667361111111</v>
      </c>
      <c r="I89" s="27">
        <v>40886.517361111109</v>
      </c>
      <c r="J89" s="9">
        <v>787.18666666666661</v>
      </c>
      <c r="K89" s="28" t="s">
        <v>572</v>
      </c>
    </row>
    <row r="90" spans="2:11" ht="18" customHeight="1" x14ac:dyDescent="0.15">
      <c r="B90" s="48"/>
      <c r="D90" s="23">
        <v>12753</v>
      </c>
      <c r="E90" s="5">
        <v>21429.39</v>
      </c>
      <c r="F90" s="6">
        <v>6</v>
      </c>
      <c r="G90" s="6">
        <v>11421</v>
      </c>
      <c r="H90" s="24">
        <v>40524.488888888889</v>
      </c>
      <c r="I90" s="24">
        <v>40864.452777777777</v>
      </c>
      <c r="J90" s="5">
        <v>3571.5650000000001</v>
      </c>
      <c r="K90" s="25" t="s">
        <v>572</v>
      </c>
    </row>
    <row r="91" spans="2:11" ht="18" customHeight="1" x14ac:dyDescent="0.15">
      <c r="B91" s="48"/>
      <c r="D91" s="26">
        <v>12744</v>
      </c>
      <c r="E91" s="9">
        <v>21279.29</v>
      </c>
      <c r="F91" s="10">
        <v>7</v>
      </c>
      <c r="G91" s="10">
        <v>5241</v>
      </c>
      <c r="H91" s="27">
        <v>40568.55972222222</v>
      </c>
      <c r="I91" s="27">
        <v>40835.470833333333</v>
      </c>
      <c r="J91" s="9">
        <v>3039.8985714285709</v>
      </c>
      <c r="K91" s="28" t="s">
        <v>572</v>
      </c>
    </row>
    <row r="92" spans="2:11" ht="18" customHeight="1" x14ac:dyDescent="0.15">
      <c r="B92" s="48"/>
      <c r="D92" s="23">
        <v>16210</v>
      </c>
      <c r="E92" s="5">
        <v>21086.3</v>
      </c>
      <c r="F92" s="6">
        <v>18</v>
      </c>
      <c r="G92" s="6">
        <v>7559</v>
      </c>
      <c r="H92" s="24">
        <v>40513.518750000003</v>
      </c>
      <c r="I92" s="24">
        <v>40885.525000000001</v>
      </c>
      <c r="J92" s="5">
        <v>1171.461111111111</v>
      </c>
      <c r="K92" s="25" t="s">
        <v>572</v>
      </c>
    </row>
    <row r="93" spans="2:11" ht="18" customHeight="1" x14ac:dyDescent="0.15">
      <c r="B93" s="48"/>
      <c r="D93" s="26">
        <v>17675</v>
      </c>
      <c r="E93" s="9">
        <v>20374.28</v>
      </c>
      <c r="F93" s="10">
        <v>31</v>
      </c>
      <c r="G93" s="10">
        <v>8360</v>
      </c>
      <c r="H93" s="27">
        <v>40519.556944444441</v>
      </c>
      <c r="I93" s="27">
        <v>40885.752083333333</v>
      </c>
      <c r="J93" s="9">
        <v>657.23483870967743</v>
      </c>
      <c r="K93" s="28" t="s">
        <v>572</v>
      </c>
    </row>
    <row r="94" spans="2:11" ht="18" customHeight="1" x14ac:dyDescent="0.15">
      <c r="B94" s="48"/>
      <c r="D94" s="23">
        <v>17381</v>
      </c>
      <c r="E94" s="5">
        <v>20275.61</v>
      </c>
      <c r="F94" s="6">
        <v>29</v>
      </c>
      <c r="G94" s="6">
        <v>25649</v>
      </c>
      <c r="H94" s="24">
        <v>40514.540277777778</v>
      </c>
      <c r="I94" s="24">
        <v>40878.499305555553</v>
      </c>
      <c r="J94" s="5">
        <v>699.15896551724143</v>
      </c>
      <c r="K94" s="25" t="s">
        <v>572</v>
      </c>
    </row>
    <row r="95" spans="2:11" ht="18" customHeight="1" x14ac:dyDescent="0.15">
      <c r="B95" s="48"/>
      <c r="D95" s="26">
        <v>15039</v>
      </c>
      <c r="E95" s="9">
        <v>19914.439999999999</v>
      </c>
      <c r="F95" s="10">
        <v>47</v>
      </c>
      <c r="G95" s="10">
        <v>9209</v>
      </c>
      <c r="H95" s="27">
        <v>40518.476388888892</v>
      </c>
      <c r="I95" s="27">
        <v>40877.479861111111</v>
      </c>
      <c r="J95" s="9">
        <v>423.71148936170209</v>
      </c>
      <c r="K95" s="28" t="s">
        <v>572</v>
      </c>
    </row>
    <row r="96" spans="2:11" ht="18" customHeight="1" x14ac:dyDescent="0.15">
      <c r="B96" s="48"/>
      <c r="D96" s="23">
        <v>12471</v>
      </c>
      <c r="E96" s="5">
        <v>19824.05</v>
      </c>
      <c r="F96" s="6">
        <v>30</v>
      </c>
      <c r="G96" s="6">
        <v>8212</v>
      </c>
      <c r="H96" s="24">
        <v>40522.399305555547</v>
      </c>
      <c r="I96" s="24">
        <v>40884.654861111107</v>
      </c>
      <c r="J96" s="5">
        <v>660.80166666666662</v>
      </c>
      <c r="K96" s="25" t="s">
        <v>572</v>
      </c>
    </row>
    <row r="97" spans="2:11" ht="18" customHeight="1" x14ac:dyDescent="0.15">
      <c r="B97" s="48"/>
      <c r="D97" s="26">
        <v>12731</v>
      </c>
      <c r="E97" s="9">
        <v>18895.91</v>
      </c>
      <c r="F97" s="10">
        <v>12</v>
      </c>
      <c r="G97" s="10">
        <v>8437</v>
      </c>
      <c r="H97" s="27">
        <v>40522.455555555563</v>
      </c>
      <c r="I97" s="27">
        <v>40863.499305555553</v>
      </c>
      <c r="J97" s="9">
        <v>1574.659166666667</v>
      </c>
      <c r="K97" s="28" t="s">
        <v>572</v>
      </c>
    </row>
    <row r="98" spans="2:11" ht="18" customHeight="1" x14ac:dyDescent="0.15">
      <c r="B98" s="48"/>
      <c r="D98" s="23">
        <v>15159</v>
      </c>
      <c r="E98" s="5">
        <v>18641.009999999998</v>
      </c>
      <c r="F98" s="6">
        <v>30</v>
      </c>
      <c r="G98" s="6">
        <v>11441</v>
      </c>
      <c r="H98" s="24">
        <v>40525.655555555553</v>
      </c>
      <c r="I98" s="24">
        <v>40885.503472222219</v>
      </c>
      <c r="J98" s="5">
        <v>621.36700000000008</v>
      </c>
      <c r="K98" s="25" t="s">
        <v>572</v>
      </c>
    </row>
    <row r="99" spans="2:11" ht="18" customHeight="1" x14ac:dyDescent="0.15">
      <c r="B99" s="48"/>
      <c r="D99" s="26">
        <v>12901</v>
      </c>
      <c r="E99" s="9">
        <v>17654.54</v>
      </c>
      <c r="F99" s="10">
        <v>28</v>
      </c>
      <c r="G99" s="10">
        <v>23075</v>
      </c>
      <c r="H99" s="27">
        <v>40616.445138888892</v>
      </c>
      <c r="I99" s="27">
        <v>40878.421527777777</v>
      </c>
      <c r="J99" s="9">
        <v>630.51928571428573</v>
      </c>
      <c r="K99" s="28" t="s">
        <v>572</v>
      </c>
    </row>
    <row r="100" spans="2:11" ht="18" customHeight="1" x14ac:dyDescent="0.15">
      <c r="B100" s="48"/>
      <c r="D100" s="23">
        <v>12678</v>
      </c>
      <c r="E100" s="5">
        <v>17628.46</v>
      </c>
      <c r="F100" s="6">
        <v>12</v>
      </c>
      <c r="G100" s="6">
        <v>10923</v>
      </c>
      <c r="H100" s="24">
        <v>40533.458333333343</v>
      </c>
      <c r="I100" s="24">
        <v>40844.544444444437</v>
      </c>
      <c r="J100" s="5">
        <v>1469.038333333333</v>
      </c>
      <c r="K100" s="25" t="s">
        <v>572</v>
      </c>
    </row>
    <row r="101" spans="2:11" ht="18" customHeight="1" x14ac:dyDescent="0.15">
      <c r="B101" s="48"/>
      <c r="D101" s="26">
        <v>14031</v>
      </c>
      <c r="E101" s="9">
        <v>17286.86</v>
      </c>
      <c r="F101" s="10">
        <v>19</v>
      </c>
      <c r="G101" s="10">
        <v>5788</v>
      </c>
      <c r="H101" s="27">
        <v>40514.69027777778</v>
      </c>
      <c r="I101" s="27">
        <v>40879.717361111107</v>
      </c>
      <c r="J101" s="9">
        <v>909.83473684210526</v>
      </c>
      <c r="K101" s="28" t="s">
        <v>572</v>
      </c>
    </row>
    <row r="102" spans="2:11" ht="18" customHeight="1" x14ac:dyDescent="0.15">
      <c r="B102" s="48"/>
      <c r="D102" s="23">
        <v>17428</v>
      </c>
      <c r="E102" s="5">
        <v>17256.849999999999</v>
      </c>
      <c r="F102" s="6">
        <v>28</v>
      </c>
      <c r="G102" s="6">
        <v>9474</v>
      </c>
      <c r="H102" s="24">
        <v>40518.400694444441</v>
      </c>
      <c r="I102" s="24">
        <v>40886.40625</v>
      </c>
      <c r="J102" s="5">
        <v>616.31607142857138</v>
      </c>
      <c r="K102" s="25" t="s">
        <v>572</v>
      </c>
    </row>
    <row r="103" spans="2:11" ht="18" customHeight="1" x14ac:dyDescent="0.15">
      <c r="B103" s="48"/>
      <c r="D103" s="26">
        <v>13767</v>
      </c>
      <c r="E103" s="9">
        <v>17220.36</v>
      </c>
      <c r="F103" s="10">
        <v>37</v>
      </c>
      <c r="G103" s="10">
        <v>7322</v>
      </c>
      <c r="H103" s="27">
        <v>40513.449305555558</v>
      </c>
      <c r="I103" s="27">
        <v>40884.625</v>
      </c>
      <c r="J103" s="9">
        <v>465.41513513513507</v>
      </c>
      <c r="K103" s="28" t="s">
        <v>572</v>
      </c>
    </row>
    <row r="104" spans="2:11" ht="18" customHeight="1" x14ac:dyDescent="0.15">
      <c r="B104" s="48"/>
      <c r="D104" s="23">
        <v>13881</v>
      </c>
      <c r="E104" s="5">
        <v>17159.52</v>
      </c>
      <c r="F104" s="6">
        <v>20</v>
      </c>
      <c r="G104" s="6">
        <v>10118</v>
      </c>
      <c r="H104" s="24">
        <v>40575.426388888889</v>
      </c>
      <c r="I104" s="24">
        <v>40883.534722222219</v>
      </c>
      <c r="J104" s="5">
        <v>857.976</v>
      </c>
      <c r="K104" s="25" t="s">
        <v>572</v>
      </c>
    </row>
    <row r="105" spans="2:11" ht="18" customHeight="1" x14ac:dyDescent="0.15">
      <c r="B105" s="48"/>
      <c r="D105" s="26">
        <v>16839</v>
      </c>
      <c r="E105" s="9">
        <v>16594.349999999999</v>
      </c>
      <c r="F105" s="10">
        <v>34</v>
      </c>
      <c r="G105" s="10">
        <v>8975</v>
      </c>
      <c r="H105" s="27">
        <v>40517.46875</v>
      </c>
      <c r="I105" s="27">
        <v>40878.377083333333</v>
      </c>
      <c r="J105" s="9">
        <v>488.06911764705882</v>
      </c>
      <c r="K105" s="28" t="s">
        <v>572</v>
      </c>
    </row>
    <row r="106" spans="2:11" ht="18" customHeight="1" x14ac:dyDescent="0.15">
      <c r="B106" s="48"/>
      <c r="D106" s="23">
        <v>12921</v>
      </c>
      <c r="E106" s="5">
        <v>16587.09</v>
      </c>
      <c r="F106" s="6">
        <v>37</v>
      </c>
      <c r="G106" s="6">
        <v>9526</v>
      </c>
      <c r="H106" s="24">
        <v>40513.629166666673</v>
      </c>
      <c r="I106" s="24">
        <v>40877.681944444441</v>
      </c>
      <c r="J106" s="5">
        <v>448.29972972972968</v>
      </c>
      <c r="K106" s="25" t="s">
        <v>572</v>
      </c>
    </row>
    <row r="107" spans="2:11" ht="18" customHeight="1" x14ac:dyDescent="0.15">
      <c r="B107" s="48"/>
      <c r="D107" s="26">
        <v>14607</v>
      </c>
      <c r="E107" s="9">
        <v>16569.5</v>
      </c>
      <c r="F107" s="10">
        <v>14</v>
      </c>
      <c r="G107" s="10">
        <v>11766</v>
      </c>
      <c r="H107" s="27">
        <v>40625.640277777777</v>
      </c>
      <c r="I107" s="27">
        <v>40871.440972222219</v>
      </c>
      <c r="J107" s="9">
        <v>1183.535714285714</v>
      </c>
      <c r="K107" s="28" t="s">
        <v>572</v>
      </c>
    </row>
    <row r="108" spans="2:11" ht="18" customHeight="1" x14ac:dyDescent="0.15">
      <c r="B108" s="48"/>
      <c r="D108" s="23">
        <v>15856</v>
      </c>
      <c r="E108" s="5">
        <v>16387.57</v>
      </c>
      <c r="F108" s="6">
        <v>27</v>
      </c>
      <c r="G108" s="6">
        <v>11005</v>
      </c>
      <c r="H108" s="24">
        <v>40521.56527777778</v>
      </c>
      <c r="I108" s="24">
        <v>40882.714583333327</v>
      </c>
      <c r="J108" s="5">
        <v>606.94703703703703</v>
      </c>
      <c r="K108" s="25" t="s">
        <v>572</v>
      </c>
    </row>
    <row r="109" spans="2:11" ht="18" customHeight="1" x14ac:dyDescent="0.15">
      <c r="B109" s="48"/>
      <c r="D109" s="26">
        <v>17677</v>
      </c>
      <c r="E109" s="9">
        <v>16363.23</v>
      </c>
      <c r="F109" s="10">
        <v>30</v>
      </c>
      <c r="G109" s="10">
        <v>9775</v>
      </c>
      <c r="H109" s="27">
        <v>40518.362500000003</v>
      </c>
      <c r="I109" s="27">
        <v>40885.413888888892</v>
      </c>
      <c r="J109" s="9">
        <v>545.44100000000003</v>
      </c>
      <c r="K109" s="28" t="s">
        <v>572</v>
      </c>
    </row>
    <row r="110" spans="2:11" ht="18" customHeight="1" x14ac:dyDescent="0.15">
      <c r="B110" s="48"/>
      <c r="D110" s="23">
        <v>15189</v>
      </c>
      <c r="E110" s="5">
        <v>16225.39</v>
      </c>
      <c r="F110" s="6">
        <v>41</v>
      </c>
      <c r="G110" s="6">
        <v>6149</v>
      </c>
      <c r="H110" s="24">
        <v>40554.520138888889</v>
      </c>
      <c r="I110" s="24">
        <v>40885.556944444441</v>
      </c>
      <c r="J110" s="5">
        <v>395.74121951219507</v>
      </c>
      <c r="K110" s="25" t="s">
        <v>572</v>
      </c>
    </row>
    <row r="111" spans="2:11" ht="18" customHeight="1" x14ac:dyDescent="0.15">
      <c r="B111" s="48"/>
      <c r="D111" s="26">
        <v>14051</v>
      </c>
      <c r="E111" s="9">
        <v>15610.39</v>
      </c>
      <c r="F111" s="10">
        <v>23</v>
      </c>
      <c r="G111" s="10">
        <v>3756</v>
      </c>
      <c r="H111" s="27">
        <v>40520.53402777778</v>
      </c>
      <c r="I111" s="27">
        <v>40886.430555555547</v>
      </c>
      <c r="J111" s="9">
        <v>678.71260869565219</v>
      </c>
      <c r="K111" s="28" t="s">
        <v>572</v>
      </c>
    </row>
    <row r="112" spans="2:11" ht="18" customHeight="1" x14ac:dyDescent="0.15">
      <c r="B112" s="48"/>
      <c r="D112" s="23">
        <v>15513</v>
      </c>
      <c r="E112" s="5">
        <v>14758.22</v>
      </c>
      <c r="F112" s="6">
        <v>19</v>
      </c>
      <c r="G112" s="6">
        <v>5709</v>
      </c>
      <c r="H112" s="24">
        <v>40513.473611111112</v>
      </c>
      <c r="I112" s="24">
        <v>40853.60833333333</v>
      </c>
      <c r="J112" s="5">
        <v>776.74842105263167</v>
      </c>
      <c r="K112" s="25" t="s">
        <v>572</v>
      </c>
    </row>
    <row r="113" spans="2:11" ht="18" customHeight="1" x14ac:dyDescent="0.15">
      <c r="B113" s="48"/>
      <c r="D113" s="26">
        <v>16133</v>
      </c>
      <c r="E113" s="9">
        <v>14589.04</v>
      </c>
      <c r="F113" s="10">
        <v>33</v>
      </c>
      <c r="G113" s="10">
        <v>8887</v>
      </c>
      <c r="H113" s="27">
        <v>40568.663194444453</v>
      </c>
      <c r="I113" s="27">
        <v>40883.474999999999</v>
      </c>
      <c r="J113" s="9">
        <v>442.09212121212119</v>
      </c>
      <c r="K113" s="28" t="s">
        <v>572</v>
      </c>
    </row>
    <row r="114" spans="2:11" ht="18" customHeight="1" x14ac:dyDescent="0.15">
      <c r="B114" s="48"/>
      <c r="D114" s="23">
        <v>14866</v>
      </c>
      <c r="E114" s="5">
        <v>14389.9</v>
      </c>
      <c r="F114" s="6">
        <v>12</v>
      </c>
      <c r="G114" s="6">
        <v>6752</v>
      </c>
      <c r="H114" s="24">
        <v>40520.623611111107</v>
      </c>
      <c r="I114" s="24">
        <v>40876.489583333343</v>
      </c>
      <c r="J114" s="5">
        <v>1199.1583333333331</v>
      </c>
      <c r="K114" s="25" t="s">
        <v>572</v>
      </c>
    </row>
    <row r="115" spans="2:11" ht="18" customHeight="1" x14ac:dyDescent="0.15">
      <c r="B115" s="48"/>
      <c r="D115" s="26">
        <v>16705</v>
      </c>
      <c r="E115" s="9">
        <v>14034.99</v>
      </c>
      <c r="F115" s="10">
        <v>20</v>
      </c>
      <c r="G115" s="10">
        <v>5476</v>
      </c>
      <c r="H115" s="27">
        <v>40528.45208333333</v>
      </c>
      <c r="I115" s="27">
        <v>40886.505555555559</v>
      </c>
      <c r="J115" s="9">
        <v>701.74950000000001</v>
      </c>
      <c r="K115" s="28" t="s">
        <v>572</v>
      </c>
    </row>
    <row r="116" spans="2:11" ht="18" customHeight="1" x14ac:dyDescent="0.15">
      <c r="B116" s="48"/>
      <c r="D116" s="23">
        <v>12681</v>
      </c>
      <c r="E116" s="5">
        <v>13787.54</v>
      </c>
      <c r="F116" s="6">
        <v>22</v>
      </c>
      <c r="G116" s="6">
        <v>7536</v>
      </c>
      <c r="H116" s="24">
        <v>40519.422222222223</v>
      </c>
      <c r="I116" s="24">
        <v>40872.481249999997</v>
      </c>
      <c r="J116" s="5">
        <v>626.70636363636368</v>
      </c>
      <c r="K116" s="25" t="s">
        <v>572</v>
      </c>
    </row>
    <row r="117" spans="2:11" ht="18" customHeight="1" x14ac:dyDescent="0.15">
      <c r="B117" s="48"/>
      <c r="D117" s="26">
        <v>12621</v>
      </c>
      <c r="E117" s="9">
        <v>13689.67</v>
      </c>
      <c r="F117" s="10">
        <v>20</v>
      </c>
      <c r="G117" s="10">
        <v>7440</v>
      </c>
      <c r="H117" s="27">
        <v>40521.427777777782</v>
      </c>
      <c r="I117" s="27">
        <v>40885.475694444453</v>
      </c>
      <c r="J117" s="9">
        <v>684.48350000000005</v>
      </c>
      <c r="K117" s="28" t="s">
        <v>572</v>
      </c>
    </row>
    <row r="118" spans="2:11" ht="18" customHeight="1" x14ac:dyDescent="0.15">
      <c r="B118" s="48"/>
      <c r="D118" s="23">
        <v>12540</v>
      </c>
      <c r="E118" s="5">
        <v>13400.24</v>
      </c>
      <c r="F118" s="6">
        <v>17</v>
      </c>
      <c r="G118" s="6">
        <v>6685</v>
      </c>
      <c r="H118" s="24">
        <v>40525.402083333327</v>
      </c>
      <c r="I118" s="24">
        <v>40867.479861111111</v>
      </c>
      <c r="J118" s="5">
        <v>788.24941176470588</v>
      </c>
      <c r="K118" s="25" t="s">
        <v>572</v>
      </c>
    </row>
    <row r="119" spans="2:11" ht="18" customHeight="1" x14ac:dyDescent="0.15">
      <c r="B119" s="48"/>
      <c r="D119" s="26">
        <v>12433</v>
      </c>
      <c r="E119" s="9">
        <v>13375.87</v>
      </c>
      <c r="F119" s="10">
        <v>7</v>
      </c>
      <c r="G119" s="10">
        <v>11071</v>
      </c>
      <c r="H119" s="27">
        <v>40513.558333333327</v>
      </c>
      <c r="I119" s="27">
        <v>40886.418055555558</v>
      </c>
      <c r="J119" s="9">
        <v>1910.8385714285721</v>
      </c>
      <c r="K119" s="28" t="s">
        <v>572</v>
      </c>
    </row>
    <row r="120" spans="2:11" ht="18" customHeight="1" x14ac:dyDescent="0.15">
      <c r="B120" s="48"/>
      <c r="D120" s="23">
        <v>15498</v>
      </c>
      <c r="E120" s="5">
        <v>13316.4</v>
      </c>
      <c r="F120" s="6">
        <v>27</v>
      </c>
      <c r="G120" s="6">
        <v>6105</v>
      </c>
      <c r="H120" s="24">
        <v>40520.520138888889</v>
      </c>
      <c r="I120" s="24">
        <v>40884.533333333333</v>
      </c>
      <c r="J120" s="5">
        <v>493.2</v>
      </c>
      <c r="K120" s="25" t="s">
        <v>572</v>
      </c>
    </row>
    <row r="121" spans="2:11" ht="18" customHeight="1" x14ac:dyDescent="0.15">
      <c r="B121" s="48"/>
      <c r="D121" s="26">
        <v>12477</v>
      </c>
      <c r="E121" s="9">
        <v>13219.74</v>
      </c>
      <c r="F121" s="10">
        <v>6</v>
      </c>
      <c r="G121" s="10">
        <v>3653</v>
      </c>
      <c r="H121" s="27">
        <v>40585.53125</v>
      </c>
      <c r="I121" s="27">
        <v>40864.410416666673</v>
      </c>
      <c r="J121" s="9">
        <v>2203.29</v>
      </c>
      <c r="K121" s="28" t="s">
        <v>572</v>
      </c>
    </row>
    <row r="122" spans="2:11" ht="18" customHeight="1" x14ac:dyDescent="0.15">
      <c r="B122" s="48"/>
      <c r="D122" s="23">
        <v>17735</v>
      </c>
      <c r="E122" s="5">
        <v>13110.02</v>
      </c>
      <c r="F122" s="6">
        <v>19</v>
      </c>
      <c r="G122" s="6">
        <v>8439</v>
      </c>
      <c r="H122" s="24">
        <v>40519.438888888893</v>
      </c>
      <c r="I122" s="24">
        <v>40884.699305555558</v>
      </c>
      <c r="J122" s="5">
        <v>690.001052631579</v>
      </c>
      <c r="K122" s="25" t="s">
        <v>572</v>
      </c>
    </row>
    <row r="123" spans="2:11" ht="18" customHeight="1" x14ac:dyDescent="0.15">
      <c r="B123" s="48"/>
      <c r="D123" s="26">
        <v>16525</v>
      </c>
      <c r="E123" s="9">
        <v>13027.45</v>
      </c>
      <c r="F123" s="10">
        <v>26</v>
      </c>
      <c r="G123" s="10">
        <v>7397</v>
      </c>
      <c r="H123" s="27">
        <v>40520.479861111111</v>
      </c>
      <c r="I123" s="27">
        <v>40884.629861111112</v>
      </c>
      <c r="J123" s="9">
        <v>501.05576923076927</v>
      </c>
      <c r="K123" s="28" t="s">
        <v>572</v>
      </c>
    </row>
    <row r="124" spans="2:11" ht="18" customHeight="1" x14ac:dyDescent="0.15">
      <c r="B124" s="48"/>
      <c r="D124" s="23">
        <v>14258</v>
      </c>
      <c r="E124" s="5">
        <v>12669.98</v>
      </c>
      <c r="F124" s="6">
        <v>9</v>
      </c>
      <c r="G124" s="6">
        <v>7100</v>
      </c>
      <c r="H124" s="24">
        <v>40549.512499999997</v>
      </c>
      <c r="I124" s="24">
        <v>40877.643750000003</v>
      </c>
      <c r="J124" s="5">
        <v>1407.775555555555</v>
      </c>
      <c r="K124" s="25" t="s">
        <v>572</v>
      </c>
    </row>
    <row r="125" spans="2:11" ht="18" customHeight="1" x14ac:dyDescent="0.15">
      <c r="B125" s="48"/>
      <c r="D125" s="26">
        <v>13078</v>
      </c>
      <c r="E125" s="9">
        <v>12627.94</v>
      </c>
      <c r="F125" s="10">
        <v>26</v>
      </c>
      <c r="G125" s="10">
        <v>5630</v>
      </c>
      <c r="H125" s="27">
        <v>40520.379861111112</v>
      </c>
      <c r="I125" s="27">
        <v>40883.65</v>
      </c>
      <c r="J125" s="9">
        <v>485.69</v>
      </c>
      <c r="K125" s="28" t="s">
        <v>572</v>
      </c>
    </row>
    <row r="126" spans="2:11" ht="18" customHeight="1" x14ac:dyDescent="0.15">
      <c r="B126" s="48"/>
      <c r="D126" s="23">
        <v>12536</v>
      </c>
      <c r="E126" s="5">
        <v>12601.83</v>
      </c>
      <c r="F126" s="6">
        <v>3</v>
      </c>
      <c r="G126" s="6">
        <v>2803</v>
      </c>
      <c r="H126" s="24">
        <v>40827.619444444441</v>
      </c>
      <c r="I126" s="24">
        <v>40843.597222222219</v>
      </c>
      <c r="J126" s="5">
        <v>4200.6100000000006</v>
      </c>
      <c r="K126" s="25" t="s">
        <v>572</v>
      </c>
    </row>
    <row r="127" spans="2:11" ht="18" customHeight="1" x14ac:dyDescent="0.15">
      <c r="B127" s="48"/>
      <c r="D127" s="26">
        <v>15640</v>
      </c>
      <c r="E127" s="9">
        <v>12515.66</v>
      </c>
      <c r="F127" s="10">
        <v>15</v>
      </c>
      <c r="G127" s="10">
        <v>6607</v>
      </c>
      <c r="H127" s="27">
        <v>40514.652777777781</v>
      </c>
      <c r="I127" s="27">
        <v>40882.607638888891</v>
      </c>
      <c r="J127" s="9">
        <v>834.37733333333335</v>
      </c>
      <c r="K127" s="28" t="s">
        <v>572</v>
      </c>
    </row>
    <row r="128" spans="2:11" ht="18" customHeight="1" x14ac:dyDescent="0.15">
      <c r="B128" s="48"/>
      <c r="D128" s="23">
        <v>16000</v>
      </c>
      <c r="E128" s="5">
        <v>12393.7</v>
      </c>
      <c r="F128" s="6">
        <v>3</v>
      </c>
      <c r="G128" s="6">
        <v>5110</v>
      </c>
      <c r="H128" s="24">
        <v>40884.509722222218</v>
      </c>
      <c r="I128" s="24">
        <v>40884.511805555558</v>
      </c>
      <c r="J128" s="5">
        <v>4131.2333333333336</v>
      </c>
      <c r="K128" s="25" t="s">
        <v>572</v>
      </c>
    </row>
    <row r="129" spans="2:11" ht="18" customHeight="1" x14ac:dyDescent="0.15">
      <c r="B129" s="48"/>
      <c r="D129" s="26">
        <v>17340</v>
      </c>
      <c r="E129" s="9">
        <v>12353.29</v>
      </c>
      <c r="F129" s="10">
        <v>11</v>
      </c>
      <c r="G129" s="10">
        <v>5967</v>
      </c>
      <c r="H129" s="27">
        <v>40520.663888888892</v>
      </c>
      <c r="I129" s="27">
        <v>40857.447916666657</v>
      </c>
      <c r="J129" s="9">
        <v>1123.0263636363641</v>
      </c>
      <c r="K129" s="28" t="s">
        <v>572</v>
      </c>
    </row>
    <row r="130" spans="2:11" ht="18" customHeight="1" x14ac:dyDescent="0.15">
      <c r="B130" s="48"/>
      <c r="D130" s="23">
        <v>12682</v>
      </c>
      <c r="E130" s="5">
        <v>12288.22</v>
      </c>
      <c r="F130" s="6">
        <v>31</v>
      </c>
      <c r="G130" s="6">
        <v>5575</v>
      </c>
      <c r="H130" s="24">
        <v>40515.582638888889</v>
      </c>
      <c r="I130" s="24">
        <v>40883.416666666657</v>
      </c>
      <c r="J130" s="5">
        <v>396.39419354838708</v>
      </c>
      <c r="K130" s="25" t="s">
        <v>572</v>
      </c>
    </row>
    <row r="131" spans="2:11" ht="18" customHeight="1" x14ac:dyDescent="0.15">
      <c r="B131" s="48"/>
      <c r="D131" s="26">
        <v>13113</v>
      </c>
      <c r="E131" s="9">
        <v>12245.96</v>
      </c>
      <c r="F131" s="10">
        <v>24</v>
      </c>
      <c r="G131" s="10">
        <v>3045</v>
      </c>
      <c r="H131" s="27">
        <v>40520.556250000001</v>
      </c>
      <c r="I131" s="27">
        <v>40886.53402777778</v>
      </c>
      <c r="J131" s="9">
        <v>510.24833333333339</v>
      </c>
      <c r="K131" s="28" t="s">
        <v>572</v>
      </c>
    </row>
    <row r="132" spans="2:11" ht="18" customHeight="1" x14ac:dyDescent="0.15">
      <c r="B132" s="48"/>
      <c r="D132" s="23">
        <v>14606</v>
      </c>
      <c r="E132" s="5">
        <v>12156.65</v>
      </c>
      <c r="F132" s="6">
        <v>93</v>
      </c>
      <c r="G132" s="6">
        <v>6224</v>
      </c>
      <c r="H132" s="24">
        <v>40513.706250000003</v>
      </c>
      <c r="I132" s="24">
        <v>40885.811111111107</v>
      </c>
      <c r="J132" s="5">
        <v>130.7166666666667</v>
      </c>
      <c r="K132" s="25" t="s">
        <v>572</v>
      </c>
    </row>
    <row r="133" spans="2:11" ht="18" customHeight="1" x14ac:dyDescent="0.15">
      <c r="B133" s="48"/>
      <c r="D133" s="26">
        <v>12557</v>
      </c>
      <c r="E133" s="9">
        <v>11990.96</v>
      </c>
      <c r="F133" s="10">
        <v>5</v>
      </c>
      <c r="G133" s="10">
        <v>4384</v>
      </c>
      <c r="H133" s="27">
        <v>40515.513888888891</v>
      </c>
      <c r="I133" s="27">
        <v>40870.707638888889</v>
      </c>
      <c r="J133" s="9">
        <v>2398.192</v>
      </c>
      <c r="K133" s="28" t="s">
        <v>572</v>
      </c>
    </row>
    <row r="134" spans="2:11" ht="18" customHeight="1" x14ac:dyDescent="0.15">
      <c r="B134" s="48"/>
      <c r="D134" s="23">
        <v>12939</v>
      </c>
      <c r="E134" s="5">
        <v>11581.8</v>
      </c>
      <c r="F134" s="6">
        <v>8</v>
      </c>
      <c r="G134" s="6">
        <v>4876</v>
      </c>
      <c r="H134" s="24">
        <v>40552.472222222219</v>
      </c>
      <c r="I134" s="24">
        <v>40822.606249999997</v>
      </c>
      <c r="J134" s="5">
        <v>1447.7249999999999</v>
      </c>
      <c r="K134" s="25" t="s">
        <v>572</v>
      </c>
    </row>
    <row r="135" spans="2:11" ht="18" customHeight="1" x14ac:dyDescent="0.15">
      <c r="B135" s="48"/>
      <c r="D135" s="26">
        <v>15125</v>
      </c>
      <c r="E135" s="9">
        <v>11528.48</v>
      </c>
      <c r="F135" s="10">
        <v>15</v>
      </c>
      <c r="G135" s="10">
        <v>6193</v>
      </c>
      <c r="H135" s="27">
        <v>40616.415972222218</v>
      </c>
      <c r="I135" s="27">
        <v>40861.581250000003</v>
      </c>
      <c r="J135" s="9">
        <v>768.56533333333334</v>
      </c>
      <c r="K135" s="28" t="s">
        <v>572</v>
      </c>
    </row>
    <row r="136" spans="2:11" ht="18" customHeight="1" x14ac:dyDescent="0.15">
      <c r="B136" s="48"/>
      <c r="D136" s="23">
        <v>14194</v>
      </c>
      <c r="E136" s="5">
        <v>11349.52</v>
      </c>
      <c r="F136" s="6">
        <v>21</v>
      </c>
      <c r="G136" s="6">
        <v>5840</v>
      </c>
      <c r="H136" s="24">
        <v>40578.618750000001</v>
      </c>
      <c r="I136" s="24">
        <v>40882.443055555559</v>
      </c>
      <c r="J136" s="5">
        <v>540.45333333333338</v>
      </c>
      <c r="K136" s="25" t="s">
        <v>572</v>
      </c>
    </row>
    <row r="137" spans="2:11" ht="18" customHeight="1" x14ac:dyDescent="0.15">
      <c r="B137" s="48"/>
      <c r="D137" s="26">
        <v>12971</v>
      </c>
      <c r="E137" s="9">
        <v>11189.91</v>
      </c>
      <c r="F137" s="10">
        <v>86</v>
      </c>
      <c r="G137" s="10">
        <v>9289</v>
      </c>
      <c r="H137" s="27">
        <v>40514.695833333331</v>
      </c>
      <c r="I137" s="27">
        <v>40883.513888888891</v>
      </c>
      <c r="J137" s="9">
        <v>130.1152325581395</v>
      </c>
      <c r="K137" s="28" t="s">
        <v>572</v>
      </c>
    </row>
    <row r="138" spans="2:11" ht="18" customHeight="1" x14ac:dyDescent="0.15">
      <c r="B138" s="48"/>
      <c r="D138" s="23">
        <v>14895</v>
      </c>
      <c r="E138" s="5">
        <v>11138.71</v>
      </c>
      <c r="F138" s="6">
        <v>20</v>
      </c>
      <c r="G138" s="6">
        <v>4851</v>
      </c>
      <c r="H138" s="24">
        <v>40596.547222222223</v>
      </c>
      <c r="I138" s="24">
        <v>40879.390972222223</v>
      </c>
      <c r="J138" s="5">
        <v>556.93550000000005</v>
      </c>
      <c r="K138" s="25" t="s">
        <v>572</v>
      </c>
    </row>
    <row r="139" spans="2:11" ht="18" customHeight="1" x14ac:dyDescent="0.15">
      <c r="B139" s="48"/>
      <c r="D139" s="26">
        <v>12409</v>
      </c>
      <c r="E139" s="9">
        <v>11072.67</v>
      </c>
      <c r="F139" s="10">
        <v>3</v>
      </c>
      <c r="G139" s="10">
        <v>5551</v>
      </c>
      <c r="H139" s="27">
        <v>40704.513194444437</v>
      </c>
      <c r="I139" s="27">
        <v>40808.443055555559</v>
      </c>
      <c r="J139" s="9">
        <v>3690.89</v>
      </c>
      <c r="K139" s="28" t="s">
        <v>572</v>
      </c>
    </row>
    <row r="140" spans="2:11" ht="18" customHeight="1" x14ac:dyDescent="0.15">
      <c r="B140" s="48"/>
      <c r="D140" s="23">
        <v>15482</v>
      </c>
      <c r="E140" s="5">
        <v>11054.96</v>
      </c>
      <c r="F140" s="6">
        <v>12</v>
      </c>
      <c r="G140" s="6">
        <v>5020</v>
      </c>
      <c r="H140" s="24">
        <v>40528.422222222223</v>
      </c>
      <c r="I140" s="24">
        <v>40871.448611111111</v>
      </c>
      <c r="J140" s="5">
        <v>921.24666666666656</v>
      </c>
      <c r="K140" s="25" t="s">
        <v>572</v>
      </c>
    </row>
    <row r="141" spans="2:11" ht="18" customHeight="1" x14ac:dyDescent="0.15">
      <c r="B141" s="48"/>
      <c r="D141" s="26">
        <v>17581</v>
      </c>
      <c r="E141" s="9">
        <v>11045.04</v>
      </c>
      <c r="F141" s="10">
        <v>25</v>
      </c>
      <c r="G141" s="10">
        <v>5927</v>
      </c>
      <c r="H141" s="27">
        <v>40514.615972222222</v>
      </c>
      <c r="I141" s="27">
        <v>40886.51458333333</v>
      </c>
      <c r="J141" s="9">
        <v>441.80160000000001</v>
      </c>
      <c r="K141" s="28" t="s">
        <v>572</v>
      </c>
    </row>
    <row r="142" spans="2:11" ht="18" customHeight="1" x14ac:dyDescent="0.15">
      <c r="B142" s="48"/>
      <c r="D142" s="23">
        <v>13319</v>
      </c>
      <c r="E142" s="5">
        <v>10845.55</v>
      </c>
      <c r="F142" s="6">
        <v>26</v>
      </c>
      <c r="G142" s="6">
        <v>4724</v>
      </c>
      <c r="H142" s="24">
        <v>40521.419444444437</v>
      </c>
      <c r="I142" s="24">
        <v>40881.56527777778</v>
      </c>
      <c r="J142" s="5">
        <v>417.13653846153852</v>
      </c>
      <c r="K142" s="25" t="s">
        <v>572</v>
      </c>
    </row>
    <row r="143" spans="2:11" ht="18" customHeight="1" x14ac:dyDescent="0.15">
      <c r="B143" s="48"/>
      <c r="D143" s="26">
        <v>17107</v>
      </c>
      <c r="E143" s="9">
        <v>10815.43</v>
      </c>
      <c r="F143" s="10">
        <v>6</v>
      </c>
      <c r="G143" s="10">
        <v>4837</v>
      </c>
      <c r="H143" s="27">
        <v>40608.636805555558</v>
      </c>
      <c r="I143" s="27">
        <v>40853.593055555553</v>
      </c>
      <c r="J143" s="9">
        <v>1802.5716666666669</v>
      </c>
      <c r="K143" s="28" t="s">
        <v>572</v>
      </c>
    </row>
    <row r="144" spans="2:11" ht="18" customHeight="1" x14ac:dyDescent="0.15">
      <c r="B144" s="48"/>
      <c r="D144" s="23">
        <v>13340</v>
      </c>
      <c r="E144" s="5">
        <v>10736.48</v>
      </c>
      <c r="F144" s="6">
        <v>7</v>
      </c>
      <c r="G144" s="6">
        <v>5770</v>
      </c>
      <c r="H144" s="24">
        <v>40610.48541666667</v>
      </c>
      <c r="I144" s="24">
        <v>40841.552083333343</v>
      </c>
      <c r="J144" s="5">
        <v>1533.782857142857</v>
      </c>
      <c r="K144" s="25" t="s">
        <v>572</v>
      </c>
    </row>
    <row r="145" spans="2:11" ht="18" customHeight="1" x14ac:dyDescent="0.15">
      <c r="B145" s="48"/>
      <c r="D145" s="26">
        <v>14769</v>
      </c>
      <c r="E145" s="9">
        <v>10674.75</v>
      </c>
      <c r="F145" s="10">
        <v>8</v>
      </c>
      <c r="G145" s="10">
        <v>7436</v>
      </c>
      <c r="H145" s="27">
        <v>40529.486111111109</v>
      </c>
      <c r="I145" s="27">
        <v>40884.433333333327</v>
      </c>
      <c r="J145" s="9">
        <v>1334.34375</v>
      </c>
      <c r="K145" s="28" t="s">
        <v>572</v>
      </c>
    </row>
    <row r="146" spans="2:11" ht="18" customHeight="1" x14ac:dyDescent="0.15">
      <c r="B146" s="48"/>
      <c r="D146" s="23">
        <v>17139</v>
      </c>
      <c r="E146" s="5">
        <v>10668.47</v>
      </c>
      <c r="F146" s="6">
        <v>12</v>
      </c>
      <c r="G146" s="6">
        <v>5182</v>
      </c>
      <c r="H146" s="24">
        <v>40598.397222222222</v>
      </c>
      <c r="I146" s="24">
        <v>40871.425000000003</v>
      </c>
      <c r="J146" s="5">
        <v>889.03916666666657</v>
      </c>
      <c r="K146" s="25" t="s">
        <v>572</v>
      </c>
    </row>
    <row r="147" spans="2:11" ht="18" customHeight="1" x14ac:dyDescent="0.15">
      <c r="B147" s="48"/>
      <c r="D147" s="26">
        <v>16779</v>
      </c>
      <c r="E147" s="9">
        <v>10629.72</v>
      </c>
      <c r="F147" s="10">
        <v>22</v>
      </c>
      <c r="G147" s="10">
        <v>5325</v>
      </c>
      <c r="H147" s="27">
        <v>40520.413888888892</v>
      </c>
      <c r="I147" s="27">
        <v>40884.620833333327</v>
      </c>
      <c r="J147" s="9">
        <v>483.16909090909098</v>
      </c>
      <c r="K147" s="28" t="s">
        <v>572</v>
      </c>
    </row>
    <row r="148" spans="2:11" ht="18" customHeight="1" x14ac:dyDescent="0.15">
      <c r="B148" s="48"/>
      <c r="D148" s="23">
        <v>17865</v>
      </c>
      <c r="E148" s="5">
        <v>10526.32</v>
      </c>
      <c r="F148" s="6">
        <v>20</v>
      </c>
      <c r="G148" s="6">
        <v>5757</v>
      </c>
      <c r="H148" s="24">
        <v>40522.620138888888</v>
      </c>
      <c r="I148" s="24">
        <v>40856.505555555559</v>
      </c>
      <c r="J148" s="5">
        <v>526.31600000000003</v>
      </c>
      <c r="K148" s="25" t="s">
        <v>572</v>
      </c>
    </row>
    <row r="149" spans="2:11" ht="18" customHeight="1" x14ac:dyDescent="0.15">
      <c r="B149" s="48"/>
      <c r="D149" s="26">
        <v>17706</v>
      </c>
      <c r="E149" s="9">
        <v>10504.49</v>
      </c>
      <c r="F149" s="10">
        <v>17</v>
      </c>
      <c r="G149" s="10">
        <v>3899</v>
      </c>
      <c r="H149" s="27">
        <v>40520.459722222222</v>
      </c>
      <c r="I149" s="27">
        <v>40882.56527777778</v>
      </c>
      <c r="J149" s="9">
        <v>617.9111764705882</v>
      </c>
      <c r="K149" s="28" t="s">
        <v>572</v>
      </c>
    </row>
    <row r="150" spans="2:11" ht="18" customHeight="1" x14ac:dyDescent="0.15">
      <c r="B150" s="48"/>
      <c r="D150" s="23">
        <v>15251</v>
      </c>
      <c r="E150" s="5">
        <v>10484.99</v>
      </c>
      <c r="F150" s="6">
        <v>11</v>
      </c>
      <c r="G150" s="6">
        <v>6171</v>
      </c>
      <c r="H150" s="24">
        <v>40645.443055555559</v>
      </c>
      <c r="I150" s="24">
        <v>40877.626388888893</v>
      </c>
      <c r="J150" s="5">
        <v>953.18090909090904</v>
      </c>
      <c r="K150" s="25" t="s">
        <v>572</v>
      </c>
    </row>
    <row r="151" spans="2:11" ht="18" customHeight="1" x14ac:dyDescent="0.15">
      <c r="B151" s="48"/>
      <c r="D151" s="26">
        <v>14062</v>
      </c>
      <c r="E151" s="9">
        <v>10464.85</v>
      </c>
      <c r="F151" s="10">
        <v>12</v>
      </c>
      <c r="G151" s="10">
        <v>5593</v>
      </c>
      <c r="H151" s="27">
        <v>40522.663888888892</v>
      </c>
      <c r="I151" s="27">
        <v>40877.419444444437</v>
      </c>
      <c r="J151" s="9">
        <v>872.07083333333333</v>
      </c>
      <c r="K151" s="28" t="s">
        <v>572</v>
      </c>
    </row>
    <row r="152" spans="2:11" ht="18" customHeight="1" x14ac:dyDescent="0.15">
      <c r="B152" s="48"/>
      <c r="D152" s="23">
        <v>15615</v>
      </c>
      <c r="E152" s="5">
        <v>10399.74</v>
      </c>
      <c r="F152" s="6">
        <v>23</v>
      </c>
      <c r="G152" s="6">
        <v>5508</v>
      </c>
      <c r="H152" s="24">
        <v>40527.681250000001</v>
      </c>
      <c r="I152" s="24">
        <v>40876.612500000003</v>
      </c>
      <c r="J152" s="5">
        <v>452.16260869565218</v>
      </c>
      <c r="K152" s="25" t="s">
        <v>572</v>
      </c>
    </row>
    <row r="153" spans="2:11" ht="18" customHeight="1" x14ac:dyDescent="0.15">
      <c r="B153" s="48"/>
      <c r="D153" s="26">
        <v>15502</v>
      </c>
      <c r="E153" s="9">
        <v>10384.93</v>
      </c>
      <c r="F153" s="10">
        <v>12</v>
      </c>
      <c r="G153" s="10">
        <v>4236</v>
      </c>
      <c r="H153" s="27">
        <v>40517.652777777781</v>
      </c>
      <c r="I153" s="27">
        <v>40871.533333333333</v>
      </c>
      <c r="J153" s="9">
        <v>865.41083333333336</v>
      </c>
      <c r="K153" s="28" t="s">
        <v>572</v>
      </c>
    </row>
    <row r="154" spans="2:11" ht="18" customHeight="1" x14ac:dyDescent="0.15">
      <c r="B154" s="48"/>
      <c r="D154" s="23">
        <v>16180</v>
      </c>
      <c r="E154" s="5">
        <v>10254.18</v>
      </c>
      <c r="F154" s="6">
        <v>8</v>
      </c>
      <c r="G154" s="6">
        <v>5867</v>
      </c>
      <c r="H154" s="24">
        <v>40634.432638888888</v>
      </c>
      <c r="I154" s="24">
        <v>40786.686111111107</v>
      </c>
      <c r="J154" s="5">
        <v>1281.7725</v>
      </c>
      <c r="K154" s="25" t="s">
        <v>572</v>
      </c>
    </row>
    <row r="155" spans="2:11" ht="18" customHeight="1" x14ac:dyDescent="0.15">
      <c r="B155" s="48"/>
      <c r="D155" s="26">
        <v>16843</v>
      </c>
      <c r="E155" s="9">
        <v>10196.57</v>
      </c>
      <c r="F155" s="10">
        <v>16</v>
      </c>
      <c r="G155" s="10">
        <v>10159</v>
      </c>
      <c r="H155" s="27">
        <v>40559.673611111109</v>
      </c>
      <c r="I155" s="27">
        <v>40844.379166666673</v>
      </c>
      <c r="J155" s="9">
        <v>637.28562499999998</v>
      </c>
      <c r="K155" s="28" t="s">
        <v>572</v>
      </c>
    </row>
    <row r="156" spans="2:11" ht="18" customHeight="1" x14ac:dyDescent="0.15">
      <c r="B156" s="48"/>
      <c r="D156" s="23">
        <v>12590</v>
      </c>
      <c r="E156" s="5">
        <v>9864.26</v>
      </c>
      <c r="F156" s="6">
        <v>2</v>
      </c>
      <c r="G156" s="6">
        <v>4283</v>
      </c>
      <c r="H156" s="24">
        <v>40675.615277777782</v>
      </c>
      <c r="I156" s="24">
        <v>40675.619444444441</v>
      </c>
      <c r="J156" s="5">
        <v>4932.13</v>
      </c>
      <c r="K156" s="25" t="s">
        <v>572</v>
      </c>
    </row>
    <row r="157" spans="2:11" ht="18" customHeight="1" x14ac:dyDescent="0.15">
      <c r="B157" s="48"/>
      <c r="D157" s="26">
        <v>13001</v>
      </c>
      <c r="E157" s="9">
        <v>9818.82</v>
      </c>
      <c r="F157" s="10">
        <v>13</v>
      </c>
      <c r="G157" s="10">
        <v>5505</v>
      </c>
      <c r="H157" s="27">
        <v>40560.53125</v>
      </c>
      <c r="I157" s="27">
        <v>40882.618750000001</v>
      </c>
      <c r="J157" s="9">
        <v>755.29384615384618</v>
      </c>
      <c r="K157" s="28" t="s">
        <v>572</v>
      </c>
    </row>
    <row r="158" spans="2:11" ht="18" customHeight="1" x14ac:dyDescent="0.15">
      <c r="B158" s="48"/>
      <c r="D158" s="23">
        <v>13199</v>
      </c>
      <c r="E158" s="5">
        <v>9817.1200000000008</v>
      </c>
      <c r="F158" s="6">
        <v>38</v>
      </c>
      <c r="G158" s="6">
        <v>6176</v>
      </c>
      <c r="H158" s="24">
        <v>40520.45208333333</v>
      </c>
      <c r="I158" s="24">
        <v>40883.520833333343</v>
      </c>
      <c r="J158" s="5">
        <v>258.34526315789469</v>
      </c>
      <c r="K158" s="25" t="s">
        <v>572</v>
      </c>
    </row>
    <row r="159" spans="2:11" ht="18" customHeight="1" x14ac:dyDescent="0.15">
      <c r="B159" s="48"/>
      <c r="D159" s="26">
        <v>15078</v>
      </c>
      <c r="E159" s="9">
        <v>9743.11</v>
      </c>
      <c r="F159" s="10">
        <v>32</v>
      </c>
      <c r="G159" s="10">
        <v>5105</v>
      </c>
      <c r="H159" s="27">
        <v>40518.526388888888</v>
      </c>
      <c r="I159" s="27">
        <v>40879.65347222222</v>
      </c>
      <c r="J159" s="9">
        <v>304.47218750000002</v>
      </c>
      <c r="K159" s="28" t="s">
        <v>572</v>
      </c>
    </row>
    <row r="160" spans="2:11" ht="18" customHeight="1" x14ac:dyDescent="0.15">
      <c r="B160" s="48"/>
      <c r="D160" s="23">
        <v>12709</v>
      </c>
      <c r="E160" s="5">
        <v>9736.52</v>
      </c>
      <c r="F160" s="6">
        <v>15</v>
      </c>
      <c r="G160" s="6">
        <v>3936</v>
      </c>
      <c r="H160" s="24">
        <v>40520.40902777778</v>
      </c>
      <c r="I160" s="24">
        <v>40871.651388888888</v>
      </c>
      <c r="J160" s="5">
        <v>649.1013333333334</v>
      </c>
      <c r="K160" s="25" t="s">
        <v>572</v>
      </c>
    </row>
    <row r="161" spans="2:11" ht="18" customHeight="1" x14ac:dyDescent="0.15">
      <c r="B161" s="48"/>
      <c r="D161" s="26">
        <v>13458</v>
      </c>
      <c r="E161" s="9">
        <v>9646.57</v>
      </c>
      <c r="F161" s="10">
        <v>14</v>
      </c>
      <c r="G161" s="10">
        <v>5508</v>
      </c>
      <c r="H161" s="27">
        <v>40527.503472222219</v>
      </c>
      <c r="I161" s="27">
        <v>40879.645138888889</v>
      </c>
      <c r="J161" s="9">
        <v>689.04071428571422</v>
      </c>
      <c r="K161" s="28" t="s">
        <v>572</v>
      </c>
    </row>
    <row r="162" spans="2:11" ht="18" customHeight="1" x14ac:dyDescent="0.15">
      <c r="B162" s="48"/>
      <c r="D162" s="23">
        <v>14733</v>
      </c>
      <c r="E162" s="5">
        <v>9585.91</v>
      </c>
      <c r="F162" s="6">
        <v>12</v>
      </c>
      <c r="G162" s="6">
        <v>3764</v>
      </c>
      <c r="H162" s="24">
        <v>40519.479166666657</v>
      </c>
      <c r="I162" s="24">
        <v>40870.652083333327</v>
      </c>
      <c r="J162" s="5">
        <v>798.82583333333332</v>
      </c>
      <c r="K162" s="25" t="s">
        <v>572</v>
      </c>
    </row>
    <row r="163" spans="2:11" ht="18" customHeight="1" x14ac:dyDescent="0.15">
      <c r="B163" s="48"/>
      <c r="D163" s="26">
        <v>16523</v>
      </c>
      <c r="E163" s="9">
        <v>9418.4700000000012</v>
      </c>
      <c r="F163" s="10">
        <v>21</v>
      </c>
      <c r="G163" s="10">
        <v>4265</v>
      </c>
      <c r="H163" s="27">
        <v>40571.504166666673</v>
      </c>
      <c r="I163" s="27">
        <v>40885.379166666673</v>
      </c>
      <c r="J163" s="9">
        <v>448.49857142857149</v>
      </c>
      <c r="K163" s="28" t="s">
        <v>572</v>
      </c>
    </row>
    <row r="164" spans="2:11" ht="18" customHeight="1" x14ac:dyDescent="0.15">
      <c r="B164" s="48"/>
      <c r="D164" s="23">
        <v>12567</v>
      </c>
      <c r="E164" s="5">
        <v>9401.2800000000007</v>
      </c>
      <c r="F164" s="6">
        <v>10</v>
      </c>
      <c r="G164" s="6">
        <v>4305</v>
      </c>
      <c r="H164" s="24">
        <v>40517.497916666667</v>
      </c>
      <c r="I164" s="24">
        <v>40864.459722222222</v>
      </c>
      <c r="J164" s="5">
        <v>940.12800000000004</v>
      </c>
      <c r="K164" s="25" t="s">
        <v>572</v>
      </c>
    </row>
    <row r="165" spans="2:11" ht="18" customHeight="1" x14ac:dyDescent="0.15">
      <c r="B165" s="48"/>
      <c r="D165" s="26">
        <v>14367</v>
      </c>
      <c r="E165" s="9">
        <v>9261.52</v>
      </c>
      <c r="F165" s="10">
        <v>16</v>
      </c>
      <c r="G165" s="10">
        <v>4438</v>
      </c>
      <c r="H165" s="27">
        <v>40610.591666666667</v>
      </c>
      <c r="I165" s="27">
        <v>40878.554861111108</v>
      </c>
      <c r="J165" s="9">
        <v>578.84500000000003</v>
      </c>
      <c r="K165" s="28" t="s">
        <v>572</v>
      </c>
    </row>
    <row r="166" spans="2:11" ht="18" customHeight="1" x14ac:dyDescent="0.15">
      <c r="B166" s="48"/>
      <c r="D166" s="23">
        <v>14667</v>
      </c>
      <c r="E166" s="5">
        <v>9241.2000000000007</v>
      </c>
      <c r="F166" s="6">
        <v>25</v>
      </c>
      <c r="G166" s="6">
        <v>5385</v>
      </c>
      <c r="H166" s="24">
        <v>40518.550694444442</v>
      </c>
      <c r="I166" s="24">
        <v>40876.479166666657</v>
      </c>
      <c r="J166" s="5">
        <v>369.64800000000002</v>
      </c>
      <c r="K166" s="25" t="s">
        <v>572</v>
      </c>
    </row>
    <row r="167" spans="2:11" ht="18" customHeight="1" x14ac:dyDescent="0.15">
      <c r="B167" s="48"/>
      <c r="D167" s="26">
        <v>18092</v>
      </c>
      <c r="E167" s="9">
        <v>9068.26</v>
      </c>
      <c r="F167" s="10">
        <v>11</v>
      </c>
      <c r="G167" s="10">
        <v>4252</v>
      </c>
      <c r="H167" s="27">
        <v>40521.416666666657</v>
      </c>
      <c r="I167" s="27">
        <v>40884.551388888889</v>
      </c>
      <c r="J167" s="9">
        <v>824.38727272727272</v>
      </c>
      <c r="K167" s="28" t="s">
        <v>572</v>
      </c>
    </row>
    <row r="168" spans="2:11" ht="18" customHeight="1" x14ac:dyDescent="0.15">
      <c r="B168" s="48"/>
      <c r="D168" s="23">
        <v>13969</v>
      </c>
      <c r="E168" s="5">
        <v>9053.94</v>
      </c>
      <c r="F168" s="6">
        <v>18</v>
      </c>
      <c r="G168" s="6">
        <v>4542</v>
      </c>
      <c r="H168" s="24">
        <v>40521.813888888893</v>
      </c>
      <c r="I168" s="24">
        <v>40879.632638888892</v>
      </c>
      <c r="J168" s="5">
        <v>502.99666666666673</v>
      </c>
      <c r="K168" s="25" t="s">
        <v>572</v>
      </c>
    </row>
    <row r="169" spans="2:11" ht="18" customHeight="1" x14ac:dyDescent="0.15">
      <c r="B169" s="48"/>
      <c r="D169" s="26">
        <v>12451</v>
      </c>
      <c r="E169" s="9">
        <v>9035.52</v>
      </c>
      <c r="F169" s="10">
        <v>5</v>
      </c>
      <c r="G169" s="10">
        <v>6575</v>
      </c>
      <c r="H169" s="27">
        <v>40562.378472222219</v>
      </c>
      <c r="I169" s="27">
        <v>40876.361111111109</v>
      </c>
      <c r="J169" s="9">
        <v>1807.104</v>
      </c>
      <c r="K169" s="28" t="s">
        <v>572</v>
      </c>
    </row>
    <row r="170" spans="2:11" ht="18" customHeight="1" x14ac:dyDescent="0.15">
      <c r="B170" s="48"/>
      <c r="D170" s="23">
        <v>13488</v>
      </c>
      <c r="E170" s="5">
        <v>8968.31</v>
      </c>
      <c r="F170" s="6">
        <v>13</v>
      </c>
      <c r="G170" s="6">
        <v>4518</v>
      </c>
      <c r="H170" s="24">
        <v>40519.542361111111</v>
      </c>
      <c r="I170" s="24">
        <v>40869.611805555563</v>
      </c>
      <c r="J170" s="5">
        <v>689.87</v>
      </c>
      <c r="K170" s="25" t="s">
        <v>572</v>
      </c>
    </row>
    <row r="171" spans="2:11" ht="18" customHeight="1" x14ac:dyDescent="0.15">
      <c r="B171" s="48"/>
      <c r="D171" s="26">
        <v>13090</v>
      </c>
      <c r="E171" s="9">
        <v>8910.82</v>
      </c>
      <c r="F171" s="10">
        <v>14</v>
      </c>
      <c r="G171" s="10">
        <v>2263</v>
      </c>
      <c r="H171" s="27">
        <v>40514.324999999997</v>
      </c>
      <c r="I171" s="27">
        <v>40878.527083333327</v>
      </c>
      <c r="J171" s="9">
        <v>636.48714285714289</v>
      </c>
      <c r="K171" s="28" t="s">
        <v>572</v>
      </c>
    </row>
    <row r="172" spans="2:11" ht="18" customHeight="1" x14ac:dyDescent="0.15">
      <c r="B172" s="48"/>
      <c r="D172" s="23">
        <v>16033</v>
      </c>
      <c r="E172" s="5">
        <v>8816.4</v>
      </c>
      <c r="F172" s="6">
        <v>20</v>
      </c>
      <c r="G172" s="6">
        <v>3539</v>
      </c>
      <c r="H172" s="24">
        <v>40517.441666666673</v>
      </c>
      <c r="I172" s="24">
        <v>40881.530555555553</v>
      </c>
      <c r="J172" s="5">
        <v>440.82</v>
      </c>
      <c r="K172" s="25" t="s">
        <v>572</v>
      </c>
    </row>
    <row r="173" spans="2:11" ht="18" customHeight="1" x14ac:dyDescent="0.15">
      <c r="B173" s="48"/>
      <c r="D173" s="26">
        <v>17017</v>
      </c>
      <c r="E173" s="9">
        <v>8694.26</v>
      </c>
      <c r="F173" s="10">
        <v>20</v>
      </c>
      <c r="G173" s="10">
        <v>6673</v>
      </c>
      <c r="H173" s="27">
        <v>40514.428472222222</v>
      </c>
      <c r="I173" s="27">
        <v>40884.397222222222</v>
      </c>
      <c r="J173" s="9">
        <v>434.71300000000002</v>
      </c>
      <c r="K173" s="28" t="s">
        <v>572</v>
      </c>
    </row>
    <row r="174" spans="2:11" ht="18" customHeight="1" x14ac:dyDescent="0.15">
      <c r="B174" s="48"/>
      <c r="D174" s="23">
        <v>17243</v>
      </c>
      <c r="E174" s="5">
        <v>8676.85</v>
      </c>
      <c r="F174" s="6">
        <v>26</v>
      </c>
      <c r="G174" s="6">
        <v>3370</v>
      </c>
      <c r="H174" s="24">
        <v>40517.418749999997</v>
      </c>
      <c r="I174" s="24">
        <v>40885.55972222222</v>
      </c>
      <c r="J174" s="5">
        <v>333.72500000000002</v>
      </c>
      <c r="K174" s="25" t="s">
        <v>572</v>
      </c>
    </row>
    <row r="175" spans="2:11" ht="18" customHeight="1" x14ac:dyDescent="0.15">
      <c r="B175" s="48"/>
      <c r="D175" s="26">
        <v>17306</v>
      </c>
      <c r="E175" s="9">
        <v>8631.31</v>
      </c>
      <c r="F175" s="10">
        <v>19</v>
      </c>
      <c r="G175" s="10">
        <v>11491</v>
      </c>
      <c r="H175" s="27">
        <v>40533.56527777778</v>
      </c>
      <c r="I175" s="27">
        <v>40876.509722222218</v>
      </c>
      <c r="J175" s="9">
        <v>454.27947368421047</v>
      </c>
      <c r="K175" s="28" t="s">
        <v>572</v>
      </c>
    </row>
    <row r="176" spans="2:11" ht="18" customHeight="1" x14ac:dyDescent="0.15">
      <c r="B176" s="48"/>
      <c r="D176" s="23">
        <v>16656</v>
      </c>
      <c r="E176" s="5">
        <v>8625.7999999999993</v>
      </c>
      <c r="F176" s="6">
        <v>15</v>
      </c>
      <c r="G176" s="6">
        <v>8894</v>
      </c>
      <c r="H176" s="24">
        <v>40522.474305555559</v>
      </c>
      <c r="I176" s="24">
        <v>40864.613194444442</v>
      </c>
      <c r="J176" s="5">
        <v>575.05333333333328</v>
      </c>
      <c r="K176" s="25" t="s">
        <v>572</v>
      </c>
    </row>
    <row r="177" spans="2:11" ht="18" customHeight="1" x14ac:dyDescent="0.15">
      <c r="B177" s="48"/>
      <c r="D177" s="26">
        <v>14527</v>
      </c>
      <c r="E177" s="9">
        <v>8508.82</v>
      </c>
      <c r="F177" s="10">
        <v>55</v>
      </c>
      <c r="G177" s="10">
        <v>2089</v>
      </c>
      <c r="H177" s="27">
        <v>40517.553472222222</v>
      </c>
      <c r="I177" s="27">
        <v>40884.513194444437</v>
      </c>
      <c r="J177" s="9">
        <v>154.70581818181819</v>
      </c>
      <c r="K177" s="28" t="s">
        <v>572</v>
      </c>
    </row>
    <row r="178" spans="2:11" ht="18" customHeight="1" x14ac:dyDescent="0.15">
      <c r="B178" s="48"/>
      <c r="D178" s="23">
        <v>12683</v>
      </c>
      <c r="E178" s="5">
        <v>8476.57</v>
      </c>
      <c r="F178" s="6">
        <v>15</v>
      </c>
      <c r="G178" s="6">
        <v>4987</v>
      </c>
      <c r="H178" s="24">
        <v>40521.442361111112</v>
      </c>
      <c r="I178" s="24">
        <v>40882.688194444447</v>
      </c>
      <c r="J178" s="5">
        <v>565.10466666666662</v>
      </c>
      <c r="K178" s="25" t="s">
        <v>572</v>
      </c>
    </row>
    <row r="179" spans="2:11" ht="18" customHeight="1" x14ac:dyDescent="0.15">
      <c r="B179" s="48"/>
      <c r="D179" s="26">
        <v>18139</v>
      </c>
      <c r="E179" s="9">
        <v>8438.34</v>
      </c>
      <c r="F179" s="10">
        <v>6</v>
      </c>
      <c r="G179" s="10">
        <v>5557</v>
      </c>
      <c r="H179" s="27">
        <v>40868.587500000001</v>
      </c>
      <c r="I179" s="27">
        <v>40869.447222222218</v>
      </c>
      <c r="J179" s="9">
        <v>1406.39</v>
      </c>
      <c r="K179" s="28" t="s">
        <v>572</v>
      </c>
    </row>
    <row r="180" spans="2:11" ht="18" customHeight="1" x14ac:dyDescent="0.15">
      <c r="B180" s="48"/>
      <c r="D180" s="23">
        <v>15358</v>
      </c>
      <c r="E180" s="5">
        <v>8347.2000000000007</v>
      </c>
      <c r="F180" s="6">
        <v>22</v>
      </c>
      <c r="G180" s="6">
        <v>7050</v>
      </c>
      <c r="H180" s="24">
        <v>40521.419444444437</v>
      </c>
      <c r="I180" s="24">
        <v>40882.37777777778</v>
      </c>
      <c r="J180" s="5">
        <v>379.41818181818178</v>
      </c>
      <c r="K180" s="25" t="s">
        <v>572</v>
      </c>
    </row>
    <row r="181" spans="2:11" ht="18" customHeight="1" x14ac:dyDescent="0.15">
      <c r="B181" s="48"/>
      <c r="D181" s="26">
        <v>16558</v>
      </c>
      <c r="E181" s="9">
        <v>8338.49</v>
      </c>
      <c r="F181" s="10">
        <v>20</v>
      </c>
      <c r="G181" s="10">
        <v>5377</v>
      </c>
      <c r="H181" s="27">
        <v>40520.500694444447</v>
      </c>
      <c r="I181" s="27">
        <v>40886.430555555547</v>
      </c>
      <c r="J181" s="9">
        <v>416.92450000000002</v>
      </c>
      <c r="K181" s="28" t="s">
        <v>572</v>
      </c>
    </row>
    <row r="182" spans="2:11" ht="18" customHeight="1" x14ac:dyDescent="0.15">
      <c r="B182" s="48"/>
      <c r="D182" s="23">
        <v>14056</v>
      </c>
      <c r="E182" s="5">
        <v>8214.65</v>
      </c>
      <c r="F182" s="6">
        <v>23</v>
      </c>
      <c r="G182" s="6">
        <v>4273</v>
      </c>
      <c r="H182" s="24">
        <v>40602.638194444437</v>
      </c>
      <c r="I182" s="24">
        <v>40885.566666666673</v>
      </c>
      <c r="J182" s="5">
        <v>357.15869565217389</v>
      </c>
      <c r="K182" s="25" t="s">
        <v>572</v>
      </c>
    </row>
    <row r="183" spans="2:11" ht="18" customHeight="1" x14ac:dyDescent="0.15">
      <c r="B183" s="48"/>
      <c r="D183" s="26">
        <v>14936</v>
      </c>
      <c r="E183" s="9">
        <v>8137.02</v>
      </c>
      <c r="F183" s="10">
        <v>8</v>
      </c>
      <c r="G183" s="10">
        <v>4085</v>
      </c>
      <c r="H183" s="27">
        <v>40611.495138888888</v>
      </c>
      <c r="I183" s="27">
        <v>40853.4375</v>
      </c>
      <c r="J183" s="9">
        <v>1017.1275000000001</v>
      </c>
      <c r="K183" s="28" t="s">
        <v>572</v>
      </c>
    </row>
    <row r="184" spans="2:11" ht="18" customHeight="1" x14ac:dyDescent="0.15">
      <c r="B184" s="48"/>
      <c r="D184" s="23">
        <v>16672</v>
      </c>
      <c r="E184" s="5">
        <v>8134.9400000000014</v>
      </c>
      <c r="F184" s="6">
        <v>20</v>
      </c>
      <c r="G184" s="6">
        <v>2832</v>
      </c>
      <c r="H184" s="24">
        <v>40620.427083333343</v>
      </c>
      <c r="I184" s="24">
        <v>40884.686805555553</v>
      </c>
      <c r="J184" s="5">
        <v>406.74700000000001</v>
      </c>
      <c r="K184" s="25" t="s">
        <v>572</v>
      </c>
    </row>
    <row r="185" spans="2:11" ht="18" customHeight="1" x14ac:dyDescent="0.15">
      <c r="B185" s="48"/>
      <c r="D185" s="26">
        <v>13854</v>
      </c>
      <c r="E185" s="9">
        <v>8109.52</v>
      </c>
      <c r="F185" s="10">
        <v>25</v>
      </c>
      <c r="G185" s="10">
        <v>2296</v>
      </c>
      <c r="H185" s="27">
        <v>40521.449999999997</v>
      </c>
      <c r="I185" s="27">
        <v>40878.379166666673</v>
      </c>
      <c r="J185" s="9">
        <v>324.38080000000002</v>
      </c>
      <c r="K185" s="28" t="s">
        <v>572</v>
      </c>
    </row>
    <row r="186" spans="2:11" ht="18" customHeight="1" x14ac:dyDescent="0.15">
      <c r="B186" s="48"/>
      <c r="D186" s="23">
        <v>14952</v>
      </c>
      <c r="E186" s="5">
        <v>8099.49</v>
      </c>
      <c r="F186" s="6">
        <v>11</v>
      </c>
      <c r="G186" s="6">
        <v>3355</v>
      </c>
      <c r="H186" s="24">
        <v>40522.533333333333</v>
      </c>
      <c r="I186" s="24">
        <v>40827.439583333333</v>
      </c>
      <c r="J186" s="5">
        <v>736.31727272727267</v>
      </c>
      <c r="K186" s="25" t="s">
        <v>572</v>
      </c>
    </row>
    <row r="187" spans="2:11" ht="18" customHeight="1" x14ac:dyDescent="0.15">
      <c r="B187" s="48"/>
      <c r="D187" s="26">
        <v>18109</v>
      </c>
      <c r="E187" s="9">
        <v>8052.97</v>
      </c>
      <c r="F187" s="10">
        <v>26</v>
      </c>
      <c r="G187" s="10">
        <v>4237</v>
      </c>
      <c r="H187" s="27">
        <v>40517.456944444442</v>
      </c>
      <c r="I187" s="27">
        <v>40885.48333333333</v>
      </c>
      <c r="J187" s="9">
        <v>309.72961538461539</v>
      </c>
      <c r="K187" s="28" t="s">
        <v>572</v>
      </c>
    </row>
    <row r="188" spans="2:11" ht="18" customHeight="1" x14ac:dyDescent="0.15">
      <c r="B188" s="48"/>
      <c r="D188" s="23">
        <v>14796</v>
      </c>
      <c r="E188" s="5">
        <v>8022.49</v>
      </c>
      <c r="F188" s="6">
        <v>17</v>
      </c>
      <c r="G188" s="6">
        <v>6025</v>
      </c>
      <c r="H188" s="24">
        <v>40520.444444444453</v>
      </c>
      <c r="I188" s="24">
        <v>40885.646527777782</v>
      </c>
      <c r="J188" s="5">
        <v>471.9111764705882</v>
      </c>
      <c r="K188" s="25" t="s">
        <v>572</v>
      </c>
    </row>
    <row r="189" spans="2:11" ht="18" customHeight="1" x14ac:dyDescent="0.15">
      <c r="B189" s="48"/>
      <c r="D189" s="26">
        <v>12428</v>
      </c>
      <c r="E189" s="9">
        <v>7956.46</v>
      </c>
      <c r="F189" s="10">
        <v>9</v>
      </c>
      <c r="G189" s="10">
        <v>3536</v>
      </c>
      <c r="H189" s="27">
        <v>40603.397916666669</v>
      </c>
      <c r="I189" s="27">
        <v>40861.348611111112</v>
      </c>
      <c r="J189" s="9">
        <v>884.05111111111114</v>
      </c>
      <c r="K189" s="28" t="s">
        <v>572</v>
      </c>
    </row>
    <row r="190" spans="2:11" ht="18" customHeight="1" x14ac:dyDescent="0.15">
      <c r="B190" s="48"/>
      <c r="D190" s="23">
        <v>15290</v>
      </c>
      <c r="E190" s="5">
        <v>7943.22</v>
      </c>
      <c r="F190" s="6">
        <v>18</v>
      </c>
      <c r="G190" s="6">
        <v>4501</v>
      </c>
      <c r="H190" s="24">
        <v>40527.668749999997</v>
      </c>
      <c r="I190" s="24">
        <v>40882.48541666667</v>
      </c>
      <c r="J190" s="5">
        <v>441.29</v>
      </c>
      <c r="K190" s="25" t="s">
        <v>572</v>
      </c>
    </row>
    <row r="191" spans="2:11" ht="18" customHeight="1" x14ac:dyDescent="0.15">
      <c r="B191" s="48"/>
      <c r="D191" s="26">
        <v>14849</v>
      </c>
      <c r="E191" s="9">
        <v>7930.54</v>
      </c>
      <c r="F191" s="10">
        <v>25</v>
      </c>
      <c r="G191" s="10">
        <v>5694</v>
      </c>
      <c r="H191" s="27">
        <v>40513.515277777777</v>
      </c>
      <c r="I191" s="27">
        <v>40865.456944444442</v>
      </c>
      <c r="J191" s="9">
        <v>317.22160000000002</v>
      </c>
      <c r="K191" s="28" t="s">
        <v>572</v>
      </c>
    </row>
    <row r="192" spans="2:11" ht="18" customHeight="1" x14ac:dyDescent="0.15">
      <c r="B192" s="48"/>
      <c r="D192" s="23">
        <v>12757</v>
      </c>
      <c r="E192" s="5">
        <v>7857.1</v>
      </c>
      <c r="F192" s="6">
        <v>13</v>
      </c>
      <c r="G192" s="6">
        <v>2402</v>
      </c>
      <c r="H192" s="24">
        <v>40675.792361111111</v>
      </c>
      <c r="I192" s="24">
        <v>40871.520833333343</v>
      </c>
      <c r="J192" s="5">
        <v>604.39230769230767</v>
      </c>
      <c r="K192" s="25" t="s">
        <v>572</v>
      </c>
    </row>
    <row r="193" spans="2:11" ht="18" customHeight="1" x14ac:dyDescent="0.15">
      <c r="B193" s="48"/>
      <c r="D193" s="26">
        <v>17811</v>
      </c>
      <c r="E193" s="9">
        <v>7837.73</v>
      </c>
      <c r="F193" s="10">
        <v>39</v>
      </c>
      <c r="G193" s="10">
        <v>4177</v>
      </c>
      <c r="H193" s="27">
        <v>40553.456944444442</v>
      </c>
      <c r="I193" s="27">
        <v>40882.573611111111</v>
      </c>
      <c r="J193" s="9">
        <v>200.96743589743591</v>
      </c>
      <c r="K193" s="28" t="s">
        <v>572</v>
      </c>
    </row>
    <row r="194" spans="2:11" ht="18" customHeight="1" x14ac:dyDescent="0.15">
      <c r="B194" s="48"/>
      <c r="D194" s="23">
        <v>13093</v>
      </c>
      <c r="E194" s="5">
        <v>7832.47</v>
      </c>
      <c r="F194" s="6">
        <v>8</v>
      </c>
      <c r="G194" s="6">
        <v>3961</v>
      </c>
      <c r="H194" s="24">
        <v>40513.625</v>
      </c>
      <c r="I194" s="24">
        <v>40611.509722222218</v>
      </c>
      <c r="J194" s="5">
        <v>979.05875000000003</v>
      </c>
      <c r="K194" s="25" t="s">
        <v>572</v>
      </c>
    </row>
    <row r="195" spans="2:11" ht="18" customHeight="1" x14ac:dyDescent="0.15">
      <c r="B195" s="48"/>
      <c r="D195" s="26">
        <v>12435</v>
      </c>
      <c r="E195" s="9">
        <v>7829.89</v>
      </c>
      <c r="F195" s="10">
        <v>2</v>
      </c>
      <c r="G195" s="10">
        <v>2055</v>
      </c>
      <c r="H195" s="27">
        <v>40619.319444444453</v>
      </c>
      <c r="I195" s="27">
        <v>40807.379166666673</v>
      </c>
      <c r="J195" s="9">
        <v>3914.9450000000002</v>
      </c>
      <c r="K195" s="28" t="s">
        <v>572</v>
      </c>
    </row>
    <row r="196" spans="2:11" ht="18" customHeight="1" x14ac:dyDescent="0.15">
      <c r="B196" s="48"/>
      <c r="D196" s="23">
        <v>13629</v>
      </c>
      <c r="E196" s="5">
        <v>7792.36</v>
      </c>
      <c r="F196" s="6">
        <v>11</v>
      </c>
      <c r="G196" s="6">
        <v>4372</v>
      </c>
      <c r="H196" s="24">
        <v>40548.506249999999</v>
      </c>
      <c r="I196" s="24">
        <v>40863.556250000001</v>
      </c>
      <c r="J196" s="5">
        <v>708.39636363636362</v>
      </c>
      <c r="K196" s="25" t="s">
        <v>572</v>
      </c>
    </row>
    <row r="197" spans="2:11" ht="18" customHeight="1" x14ac:dyDescent="0.15">
      <c r="B197" s="48"/>
      <c r="D197" s="26">
        <v>15044</v>
      </c>
      <c r="E197" s="9">
        <v>7700.23</v>
      </c>
      <c r="F197" s="10">
        <v>17</v>
      </c>
      <c r="G197" s="10">
        <v>2795</v>
      </c>
      <c r="H197" s="27">
        <v>40524.602083333331</v>
      </c>
      <c r="I197" s="27">
        <v>40867.555555555547</v>
      </c>
      <c r="J197" s="9">
        <v>452.95470588235298</v>
      </c>
      <c r="K197" s="28" t="s">
        <v>572</v>
      </c>
    </row>
    <row r="198" spans="2:11" ht="18" customHeight="1" x14ac:dyDescent="0.15">
      <c r="B198" s="48"/>
      <c r="D198" s="23">
        <v>15194</v>
      </c>
      <c r="E198" s="5">
        <v>7616.53</v>
      </c>
      <c r="F198" s="6">
        <v>15</v>
      </c>
      <c r="G198" s="6">
        <v>5703</v>
      </c>
      <c r="H198" s="24">
        <v>40518.625</v>
      </c>
      <c r="I198" s="24">
        <v>40883.631944444453</v>
      </c>
      <c r="J198" s="5">
        <v>507.76866666666672</v>
      </c>
      <c r="K198" s="25" t="s">
        <v>572</v>
      </c>
    </row>
    <row r="199" spans="2:11" ht="18" customHeight="1" x14ac:dyDescent="0.15">
      <c r="B199" s="48"/>
      <c r="D199" s="26">
        <v>18172</v>
      </c>
      <c r="E199" s="9">
        <v>7561.68</v>
      </c>
      <c r="F199" s="10">
        <v>20</v>
      </c>
      <c r="G199" s="10">
        <v>3184</v>
      </c>
      <c r="H199" s="27">
        <v>40597.447222222218</v>
      </c>
      <c r="I199" s="27">
        <v>40872.466666666667</v>
      </c>
      <c r="J199" s="9">
        <v>378.084</v>
      </c>
      <c r="K199" s="28" t="s">
        <v>572</v>
      </c>
    </row>
    <row r="200" spans="2:11" ht="18" customHeight="1" x14ac:dyDescent="0.15">
      <c r="B200" s="48"/>
      <c r="D200" s="23">
        <v>13263</v>
      </c>
      <c r="E200" s="5">
        <v>7454.07</v>
      </c>
      <c r="F200" s="6">
        <v>35</v>
      </c>
      <c r="G200" s="6">
        <v>4780</v>
      </c>
      <c r="H200" s="24">
        <v>40561.688194444447</v>
      </c>
      <c r="I200" s="24">
        <v>40885.582638888889</v>
      </c>
      <c r="J200" s="5">
        <v>212.9734285714286</v>
      </c>
      <c r="K200" s="25" t="s">
        <v>572</v>
      </c>
    </row>
    <row r="201" spans="2:11" ht="18" customHeight="1" x14ac:dyDescent="0.15">
      <c r="B201" s="48"/>
      <c r="D201" s="26">
        <v>12474</v>
      </c>
      <c r="E201" s="9">
        <v>7375.79</v>
      </c>
      <c r="F201" s="10">
        <v>18</v>
      </c>
      <c r="G201" s="10">
        <v>4847</v>
      </c>
      <c r="H201" s="27">
        <v>40557.42083333333</v>
      </c>
      <c r="I201" s="27">
        <v>40869.61041666667</v>
      </c>
      <c r="J201" s="9">
        <v>409.76611111111112</v>
      </c>
      <c r="K201" s="28" t="s">
        <v>572</v>
      </c>
    </row>
    <row r="202" spans="2:11" ht="18" customHeight="1" x14ac:dyDescent="0.15">
      <c r="B202" s="48"/>
      <c r="D202" s="23">
        <v>12980</v>
      </c>
      <c r="E202" s="5">
        <v>7374.9000000000005</v>
      </c>
      <c r="F202" s="6">
        <v>9</v>
      </c>
      <c r="G202" s="6">
        <v>886</v>
      </c>
      <c r="H202" s="24">
        <v>40528.48333333333</v>
      </c>
      <c r="I202" s="24">
        <v>40729.398611111108</v>
      </c>
      <c r="J202" s="5">
        <v>819.43333333333339</v>
      </c>
      <c r="K202" s="25" t="s">
        <v>572</v>
      </c>
    </row>
    <row r="203" spans="2:11" ht="18" customHeight="1" x14ac:dyDescent="0.15">
      <c r="B203" s="48"/>
      <c r="D203" s="26">
        <v>15465</v>
      </c>
      <c r="E203" s="9">
        <v>7354.62</v>
      </c>
      <c r="F203" s="10">
        <v>18</v>
      </c>
      <c r="G203" s="10">
        <v>1257</v>
      </c>
      <c r="H203" s="27">
        <v>40517.425000000003</v>
      </c>
      <c r="I203" s="27">
        <v>40867.424305555563</v>
      </c>
      <c r="J203" s="9">
        <v>408.59</v>
      </c>
      <c r="K203" s="28" t="s">
        <v>572</v>
      </c>
    </row>
    <row r="204" spans="2:11" ht="18" customHeight="1" x14ac:dyDescent="0.15">
      <c r="B204" s="48"/>
      <c r="D204" s="23">
        <v>17396</v>
      </c>
      <c r="E204" s="5">
        <v>7330.8</v>
      </c>
      <c r="F204" s="6">
        <v>8</v>
      </c>
      <c r="G204" s="6">
        <v>2005</v>
      </c>
      <c r="H204" s="24">
        <v>40515.40625</v>
      </c>
      <c r="I204" s="24">
        <v>40847.591666666667</v>
      </c>
      <c r="J204" s="5">
        <v>916.35</v>
      </c>
      <c r="K204" s="25" t="s">
        <v>572</v>
      </c>
    </row>
    <row r="205" spans="2:11" ht="18" customHeight="1" x14ac:dyDescent="0.15">
      <c r="B205" s="48"/>
      <c r="D205" s="26">
        <v>12583</v>
      </c>
      <c r="E205" s="9">
        <v>7281.38</v>
      </c>
      <c r="F205" s="10">
        <v>15</v>
      </c>
      <c r="G205" s="10">
        <v>5060</v>
      </c>
      <c r="H205" s="27">
        <v>40513.364583333343</v>
      </c>
      <c r="I205" s="27">
        <v>40884.338194444441</v>
      </c>
      <c r="J205" s="9">
        <v>485.42533333333341</v>
      </c>
      <c r="K205" s="28" t="s">
        <v>572</v>
      </c>
    </row>
    <row r="206" spans="2:11" ht="18" customHeight="1" x14ac:dyDescent="0.15">
      <c r="B206" s="48"/>
      <c r="D206" s="23">
        <v>13018</v>
      </c>
      <c r="E206" s="5">
        <v>7277.7</v>
      </c>
      <c r="F206" s="6">
        <v>28</v>
      </c>
      <c r="G206" s="6">
        <v>5435</v>
      </c>
      <c r="H206" s="24">
        <v>40591.461805555547</v>
      </c>
      <c r="I206" s="24">
        <v>40870.561111111107</v>
      </c>
      <c r="J206" s="5">
        <v>259.91785714285709</v>
      </c>
      <c r="K206" s="25" t="s">
        <v>572</v>
      </c>
    </row>
    <row r="207" spans="2:11" ht="18" customHeight="1" x14ac:dyDescent="0.15">
      <c r="B207" s="48"/>
      <c r="D207" s="26">
        <v>18229</v>
      </c>
      <c r="E207" s="9">
        <v>7276.9000000000005</v>
      </c>
      <c r="F207" s="10">
        <v>20</v>
      </c>
      <c r="G207" s="10">
        <v>2488</v>
      </c>
      <c r="H207" s="27">
        <v>40513.684027777781</v>
      </c>
      <c r="I207" s="27">
        <v>40875.408333333333</v>
      </c>
      <c r="J207" s="9">
        <v>363.84500000000003</v>
      </c>
      <c r="K207" s="28" t="s">
        <v>572</v>
      </c>
    </row>
    <row r="208" spans="2:11" ht="18" customHeight="1" x14ac:dyDescent="0.15">
      <c r="B208" s="48"/>
      <c r="D208" s="23">
        <v>16923</v>
      </c>
      <c r="E208" s="5">
        <v>7247.61</v>
      </c>
      <c r="F208" s="6">
        <v>19</v>
      </c>
      <c r="G208" s="6">
        <v>3417</v>
      </c>
      <c r="H208" s="24">
        <v>40524.462500000001</v>
      </c>
      <c r="I208" s="24">
        <v>40874.541666666657</v>
      </c>
      <c r="J208" s="5">
        <v>381.45315789473682</v>
      </c>
      <c r="K208" s="25" t="s">
        <v>572</v>
      </c>
    </row>
    <row r="209" spans="2:11" ht="18" customHeight="1" x14ac:dyDescent="0.15">
      <c r="B209" s="48"/>
      <c r="D209" s="26">
        <v>16729</v>
      </c>
      <c r="E209" s="9">
        <v>7239.92</v>
      </c>
      <c r="F209" s="10">
        <v>21</v>
      </c>
      <c r="G209" s="10">
        <v>5783</v>
      </c>
      <c r="H209" s="27">
        <v>40645.598611111112</v>
      </c>
      <c r="I209" s="27">
        <v>40848.603472222218</v>
      </c>
      <c r="J209" s="9">
        <v>344.75809523809522</v>
      </c>
      <c r="K209" s="28" t="s">
        <v>572</v>
      </c>
    </row>
    <row r="210" spans="2:11" ht="18" customHeight="1" x14ac:dyDescent="0.15">
      <c r="B210" s="48"/>
      <c r="D210" s="23">
        <v>16745</v>
      </c>
      <c r="E210" s="5">
        <v>7194.3</v>
      </c>
      <c r="F210" s="6">
        <v>17</v>
      </c>
      <c r="G210" s="6">
        <v>6735</v>
      </c>
      <c r="H210" s="24">
        <v>40575.479861111111</v>
      </c>
      <c r="I210" s="24">
        <v>40800.498611111107</v>
      </c>
      <c r="J210" s="5">
        <v>423.19411764705882</v>
      </c>
      <c r="K210" s="25" t="s">
        <v>572</v>
      </c>
    </row>
    <row r="211" spans="2:11" ht="18" customHeight="1" x14ac:dyDescent="0.15">
      <c r="B211" s="48"/>
      <c r="D211" s="26">
        <v>16873</v>
      </c>
      <c r="E211" s="9">
        <v>7123.62</v>
      </c>
      <c r="F211" s="10">
        <v>6</v>
      </c>
      <c r="G211" s="10">
        <v>3840</v>
      </c>
      <c r="H211" s="27">
        <v>40522.65625</v>
      </c>
      <c r="I211" s="27">
        <v>40882.503472222219</v>
      </c>
      <c r="J211" s="9">
        <v>1187.27</v>
      </c>
      <c r="K211" s="28" t="s">
        <v>572</v>
      </c>
    </row>
    <row r="212" spans="2:11" ht="18" customHeight="1" x14ac:dyDescent="0.15">
      <c r="B212" s="48"/>
      <c r="D212" s="23">
        <v>13324</v>
      </c>
      <c r="E212" s="5">
        <v>7121.95</v>
      </c>
      <c r="F212" s="6">
        <v>10</v>
      </c>
      <c r="G212" s="6">
        <v>5205</v>
      </c>
      <c r="H212" s="24">
        <v>40526.409722222219</v>
      </c>
      <c r="I212" s="24">
        <v>40850.686111111107</v>
      </c>
      <c r="J212" s="5">
        <v>712.19499999999994</v>
      </c>
      <c r="K212" s="25" t="s">
        <v>572</v>
      </c>
    </row>
    <row r="213" spans="2:11" ht="18" customHeight="1" x14ac:dyDescent="0.15">
      <c r="B213" s="48"/>
      <c r="D213" s="26">
        <v>13985</v>
      </c>
      <c r="E213" s="9">
        <v>7060.13</v>
      </c>
      <c r="F213" s="10">
        <v>15</v>
      </c>
      <c r="G213" s="10">
        <v>3445</v>
      </c>
      <c r="H213" s="27">
        <v>40622.574999999997</v>
      </c>
      <c r="I213" s="27">
        <v>40882.712500000001</v>
      </c>
      <c r="J213" s="9">
        <v>470.67533333333341</v>
      </c>
      <c r="K213" s="28" t="s">
        <v>572</v>
      </c>
    </row>
    <row r="214" spans="2:11" ht="18" customHeight="1" x14ac:dyDescent="0.15">
      <c r="B214" s="48"/>
      <c r="D214" s="23">
        <v>14961</v>
      </c>
      <c r="E214" s="5">
        <v>7044.68</v>
      </c>
      <c r="F214" s="6">
        <v>9</v>
      </c>
      <c r="G214" s="6">
        <v>3708</v>
      </c>
      <c r="H214" s="24">
        <v>40526.484722222223</v>
      </c>
      <c r="I214" s="24">
        <v>40876.404166666667</v>
      </c>
      <c r="J214" s="5">
        <v>782.74222222222227</v>
      </c>
      <c r="K214" s="25" t="s">
        <v>572</v>
      </c>
    </row>
    <row r="215" spans="2:11" ht="18" customHeight="1" x14ac:dyDescent="0.15">
      <c r="B215" s="48"/>
      <c r="D215" s="26">
        <v>12766</v>
      </c>
      <c r="E215" s="9">
        <v>6989.63</v>
      </c>
      <c r="F215" s="10">
        <v>7</v>
      </c>
      <c r="G215" s="10">
        <v>3646</v>
      </c>
      <c r="H215" s="27">
        <v>40520.578472222223</v>
      </c>
      <c r="I215" s="27">
        <v>40883.365277777782</v>
      </c>
      <c r="J215" s="9">
        <v>998.51857142857148</v>
      </c>
      <c r="K215" s="28" t="s">
        <v>572</v>
      </c>
    </row>
    <row r="216" spans="2:11" ht="18" customHeight="1" x14ac:dyDescent="0.15">
      <c r="B216" s="48"/>
      <c r="D216" s="23">
        <v>12798</v>
      </c>
      <c r="E216" s="5">
        <v>6977.04</v>
      </c>
      <c r="F216" s="6">
        <v>3</v>
      </c>
      <c r="G216" s="6">
        <v>5256</v>
      </c>
      <c r="H216" s="24">
        <v>40716.424305555563</v>
      </c>
      <c r="I216" s="24">
        <v>40876.661111111112</v>
      </c>
      <c r="J216" s="5">
        <v>2325.6799999999998</v>
      </c>
      <c r="K216" s="25" t="s">
        <v>572</v>
      </c>
    </row>
    <row r="217" spans="2:11" ht="18" customHeight="1" x14ac:dyDescent="0.15">
      <c r="B217" s="48"/>
      <c r="D217" s="26">
        <v>12989</v>
      </c>
      <c r="E217" s="9">
        <v>6924.1100000000006</v>
      </c>
      <c r="F217" s="10">
        <v>15</v>
      </c>
      <c r="G217" s="10">
        <v>2943</v>
      </c>
      <c r="H217" s="27">
        <v>40522.558333333327</v>
      </c>
      <c r="I217" s="27">
        <v>40883.644444444442</v>
      </c>
      <c r="J217" s="9">
        <v>461.60733333333337</v>
      </c>
      <c r="K217" s="28" t="s">
        <v>572</v>
      </c>
    </row>
    <row r="218" spans="2:11" ht="18" customHeight="1" x14ac:dyDescent="0.15">
      <c r="B218" s="48"/>
      <c r="D218" s="23">
        <v>16713</v>
      </c>
      <c r="E218" s="5">
        <v>6923.13</v>
      </c>
      <c r="F218" s="6">
        <v>15</v>
      </c>
      <c r="G218" s="6">
        <v>4276</v>
      </c>
      <c r="H218" s="24">
        <v>40520.542361111111</v>
      </c>
      <c r="I218" s="24">
        <v>40868.525000000001</v>
      </c>
      <c r="J218" s="5">
        <v>461.54199999999997</v>
      </c>
      <c r="K218" s="25" t="s">
        <v>572</v>
      </c>
    </row>
    <row r="219" spans="2:11" ht="18" customHeight="1" x14ac:dyDescent="0.15">
      <c r="B219" s="48"/>
      <c r="D219" s="26">
        <v>13027</v>
      </c>
      <c r="E219" s="9">
        <v>6912</v>
      </c>
      <c r="F219" s="10">
        <v>6</v>
      </c>
      <c r="G219" s="10">
        <v>17280</v>
      </c>
      <c r="H219" s="27">
        <v>40532.53125</v>
      </c>
      <c r="I219" s="27">
        <v>40773.402083333327</v>
      </c>
      <c r="J219" s="9">
        <v>1152</v>
      </c>
      <c r="K219" s="28" t="s">
        <v>572</v>
      </c>
    </row>
    <row r="220" spans="2:11" ht="18" customHeight="1" x14ac:dyDescent="0.15">
      <c r="B220" s="48"/>
      <c r="D220" s="23">
        <v>16187</v>
      </c>
      <c r="E220" s="5">
        <v>6911.4400000000014</v>
      </c>
      <c r="F220" s="6">
        <v>15</v>
      </c>
      <c r="G220" s="6">
        <v>5048</v>
      </c>
      <c r="H220" s="24">
        <v>40602.56527777778</v>
      </c>
      <c r="I220" s="24">
        <v>40855.409722222219</v>
      </c>
      <c r="J220" s="5">
        <v>460.76266666666669</v>
      </c>
      <c r="K220" s="25" t="s">
        <v>572</v>
      </c>
    </row>
    <row r="221" spans="2:11" ht="18" customHeight="1" x14ac:dyDescent="0.15">
      <c r="B221" s="48"/>
      <c r="D221" s="26">
        <v>17416</v>
      </c>
      <c r="E221" s="9">
        <v>6893.42</v>
      </c>
      <c r="F221" s="10">
        <v>7</v>
      </c>
      <c r="G221" s="10">
        <v>4302</v>
      </c>
      <c r="H221" s="27">
        <v>40605.572916666657</v>
      </c>
      <c r="I221" s="27">
        <v>40857.532638888893</v>
      </c>
      <c r="J221" s="9">
        <v>984.77428571428572</v>
      </c>
      <c r="K221" s="28" t="s">
        <v>572</v>
      </c>
    </row>
    <row r="222" spans="2:11" ht="18" customHeight="1" x14ac:dyDescent="0.15">
      <c r="B222" s="48"/>
      <c r="D222" s="23">
        <v>12705</v>
      </c>
      <c r="E222" s="5">
        <v>6868.29</v>
      </c>
      <c r="F222" s="6">
        <v>9</v>
      </c>
      <c r="G222" s="6">
        <v>3997</v>
      </c>
      <c r="H222" s="24">
        <v>40529.665277777778</v>
      </c>
      <c r="I222" s="24">
        <v>40871.553472222222</v>
      </c>
      <c r="J222" s="5">
        <v>763.14333333333332</v>
      </c>
      <c r="K222" s="25" t="s">
        <v>572</v>
      </c>
    </row>
    <row r="223" spans="2:11" ht="18" customHeight="1" x14ac:dyDescent="0.15">
      <c r="B223" s="48"/>
      <c r="D223" s="26">
        <v>12476</v>
      </c>
      <c r="E223" s="9">
        <v>6816.42</v>
      </c>
      <c r="F223" s="10">
        <v>11</v>
      </c>
      <c r="G223" s="10">
        <v>2408</v>
      </c>
      <c r="H223" s="27">
        <v>40525.61041666667</v>
      </c>
      <c r="I223" s="27">
        <v>40871.527777777781</v>
      </c>
      <c r="J223" s="9">
        <v>619.67454545454541</v>
      </c>
      <c r="K223" s="28" t="s">
        <v>572</v>
      </c>
    </row>
    <row r="224" spans="2:11" ht="18" customHeight="1" x14ac:dyDescent="0.15">
      <c r="B224" s="48"/>
      <c r="D224" s="23">
        <v>12830</v>
      </c>
      <c r="E224" s="5">
        <v>6814.64</v>
      </c>
      <c r="F224" s="6">
        <v>6</v>
      </c>
      <c r="G224" s="6">
        <v>9848</v>
      </c>
      <c r="H224" s="24">
        <v>40715.453472222223</v>
      </c>
      <c r="I224" s="24">
        <v>40849.495833333327</v>
      </c>
      <c r="J224" s="5">
        <v>1135.7733333333331</v>
      </c>
      <c r="K224" s="25" t="s">
        <v>572</v>
      </c>
    </row>
    <row r="225" spans="2:11" ht="18" customHeight="1" x14ac:dyDescent="0.15">
      <c r="B225" s="48"/>
      <c r="D225" s="26">
        <v>15023</v>
      </c>
      <c r="E225" s="9">
        <v>6802.76</v>
      </c>
      <c r="F225" s="10">
        <v>11</v>
      </c>
      <c r="G225" s="10">
        <v>2871</v>
      </c>
      <c r="H225" s="27">
        <v>40517.575694444437</v>
      </c>
      <c r="I225" s="27">
        <v>40883.724305555559</v>
      </c>
      <c r="J225" s="9">
        <v>618.43272727272733</v>
      </c>
      <c r="K225" s="28" t="s">
        <v>572</v>
      </c>
    </row>
    <row r="226" spans="2:11" ht="18" customHeight="1" x14ac:dyDescent="0.15">
      <c r="B226" s="48"/>
      <c r="D226" s="23">
        <v>18055</v>
      </c>
      <c r="E226" s="5">
        <v>6784.1900000000014</v>
      </c>
      <c r="F226" s="6">
        <v>10</v>
      </c>
      <c r="G226" s="6">
        <v>2455</v>
      </c>
      <c r="H226" s="24">
        <v>40517.452777777777</v>
      </c>
      <c r="I226" s="24">
        <v>40879.600694444453</v>
      </c>
      <c r="J226" s="5">
        <v>678.4190000000001</v>
      </c>
      <c r="K226" s="25" t="s">
        <v>572</v>
      </c>
    </row>
    <row r="227" spans="2:11" ht="18" customHeight="1" x14ac:dyDescent="0.15">
      <c r="B227" s="48"/>
      <c r="D227" s="26">
        <v>15601</v>
      </c>
      <c r="E227" s="9">
        <v>6776.56</v>
      </c>
      <c r="F227" s="10">
        <v>14</v>
      </c>
      <c r="G227" s="10">
        <v>4983</v>
      </c>
      <c r="H227" s="27">
        <v>40514.443749999999</v>
      </c>
      <c r="I227" s="27">
        <v>40875.635416666657</v>
      </c>
      <c r="J227" s="9">
        <v>484.04</v>
      </c>
      <c r="K227" s="28" t="s">
        <v>572</v>
      </c>
    </row>
    <row r="228" spans="2:11" ht="18" customHeight="1" x14ac:dyDescent="0.15">
      <c r="B228" s="48"/>
      <c r="D228" s="23">
        <v>16652</v>
      </c>
      <c r="E228" s="5">
        <v>6773.97</v>
      </c>
      <c r="F228" s="6">
        <v>7</v>
      </c>
      <c r="G228" s="6">
        <v>3283</v>
      </c>
      <c r="H228" s="24">
        <v>40613.550694444442</v>
      </c>
      <c r="I228" s="24">
        <v>40828.401388888888</v>
      </c>
      <c r="J228" s="5">
        <v>967.71</v>
      </c>
      <c r="K228" s="25" t="s">
        <v>572</v>
      </c>
    </row>
    <row r="229" spans="2:11" ht="18" customHeight="1" x14ac:dyDescent="0.15">
      <c r="B229" s="48"/>
      <c r="D229" s="26">
        <v>16532</v>
      </c>
      <c r="E229" s="9">
        <v>6748.8</v>
      </c>
      <c r="F229" s="10">
        <v>3</v>
      </c>
      <c r="G229" s="10">
        <v>2016</v>
      </c>
      <c r="H229" s="27">
        <v>40548.525694444441</v>
      </c>
      <c r="I229" s="27">
        <v>40869.463888888888</v>
      </c>
      <c r="J229" s="9">
        <v>2249.6</v>
      </c>
      <c r="K229" s="28" t="s">
        <v>572</v>
      </c>
    </row>
    <row r="230" spans="2:11" ht="18" customHeight="1" x14ac:dyDescent="0.15">
      <c r="B230" s="48"/>
      <c r="D230" s="23">
        <v>13576</v>
      </c>
      <c r="E230" s="5">
        <v>6717.34</v>
      </c>
      <c r="F230" s="6">
        <v>18</v>
      </c>
      <c r="G230" s="6">
        <v>2646</v>
      </c>
      <c r="H230" s="24">
        <v>40513.724999999999</v>
      </c>
      <c r="I230" s="24">
        <v>40876.648611111108</v>
      </c>
      <c r="J230" s="5">
        <v>373.18555555555548</v>
      </c>
      <c r="K230" s="25" t="s">
        <v>572</v>
      </c>
    </row>
    <row r="231" spans="2:11" ht="18" customHeight="1" x14ac:dyDescent="0.15">
      <c r="B231" s="48"/>
      <c r="D231" s="26">
        <v>16746</v>
      </c>
      <c r="E231" s="9">
        <v>6697.66</v>
      </c>
      <c r="F231" s="10">
        <v>18</v>
      </c>
      <c r="G231" s="10">
        <v>4665</v>
      </c>
      <c r="H231" s="27">
        <v>40528.488194444442</v>
      </c>
      <c r="I231" s="27">
        <v>40882.522916666669</v>
      </c>
      <c r="J231" s="9">
        <v>372.09222222222218</v>
      </c>
      <c r="K231" s="28" t="s">
        <v>572</v>
      </c>
    </row>
    <row r="232" spans="2:11" ht="18" customHeight="1" x14ac:dyDescent="0.15">
      <c r="B232" s="48"/>
      <c r="D232" s="23">
        <v>15249</v>
      </c>
      <c r="E232" s="5">
        <v>6688.46</v>
      </c>
      <c r="F232" s="6">
        <v>13</v>
      </c>
      <c r="G232" s="6">
        <v>3577</v>
      </c>
      <c r="H232" s="24">
        <v>40630.53402777778</v>
      </c>
      <c r="I232" s="24">
        <v>40855.489583333343</v>
      </c>
      <c r="J232" s="5">
        <v>514.49692307692305</v>
      </c>
      <c r="K232" s="25" t="s">
        <v>572</v>
      </c>
    </row>
    <row r="233" spans="2:11" ht="18" customHeight="1" x14ac:dyDescent="0.15">
      <c r="B233" s="48"/>
      <c r="D233" s="26">
        <v>16353</v>
      </c>
      <c r="E233" s="9">
        <v>6675.71</v>
      </c>
      <c r="F233" s="10">
        <v>23</v>
      </c>
      <c r="G233" s="10">
        <v>2006</v>
      </c>
      <c r="H233" s="27">
        <v>40517.506249999999</v>
      </c>
      <c r="I233" s="27">
        <v>40883.515972222223</v>
      </c>
      <c r="J233" s="9">
        <v>290.24826086956517</v>
      </c>
      <c r="K233" s="28" t="s">
        <v>572</v>
      </c>
    </row>
    <row r="234" spans="2:11" ht="18" customHeight="1" x14ac:dyDescent="0.15">
      <c r="B234" s="48"/>
      <c r="D234" s="23">
        <v>17338</v>
      </c>
      <c r="E234" s="5">
        <v>6643.93</v>
      </c>
      <c r="F234" s="6">
        <v>8</v>
      </c>
      <c r="G234" s="6">
        <v>3128</v>
      </c>
      <c r="H234" s="24">
        <v>40525.539583333331</v>
      </c>
      <c r="I234" s="24">
        <v>40869.599305555559</v>
      </c>
      <c r="J234" s="5">
        <v>830.49125000000004</v>
      </c>
      <c r="K234" s="25" t="s">
        <v>572</v>
      </c>
    </row>
    <row r="235" spans="2:11" ht="18" customHeight="1" x14ac:dyDescent="0.15">
      <c r="B235" s="48"/>
      <c r="D235" s="26">
        <v>12626</v>
      </c>
      <c r="E235" s="9">
        <v>6620.48</v>
      </c>
      <c r="F235" s="10">
        <v>9</v>
      </c>
      <c r="G235" s="10">
        <v>3453</v>
      </c>
      <c r="H235" s="27">
        <v>40560.459027777782</v>
      </c>
      <c r="I235" s="27">
        <v>40863.67083333333</v>
      </c>
      <c r="J235" s="9">
        <v>735.60888888888883</v>
      </c>
      <c r="K235" s="28" t="s">
        <v>572</v>
      </c>
    </row>
    <row r="236" spans="2:11" ht="18" customHeight="1" x14ac:dyDescent="0.15">
      <c r="B236" s="48"/>
      <c r="D236" s="23">
        <v>16182</v>
      </c>
      <c r="E236" s="5">
        <v>6617.65</v>
      </c>
      <c r="F236" s="6">
        <v>4</v>
      </c>
      <c r="G236" s="6">
        <v>3791</v>
      </c>
      <c r="H236" s="24">
        <v>40592.424305555563</v>
      </c>
      <c r="I236" s="24">
        <v>40814.557638888888</v>
      </c>
      <c r="J236" s="5">
        <v>1654.4124999999999</v>
      </c>
      <c r="K236" s="25" t="s">
        <v>572</v>
      </c>
    </row>
    <row r="237" spans="2:11" ht="18" customHeight="1" x14ac:dyDescent="0.15">
      <c r="B237" s="48"/>
      <c r="D237" s="26">
        <v>15144</v>
      </c>
      <c r="E237" s="9">
        <v>6580.44</v>
      </c>
      <c r="F237" s="10">
        <v>17</v>
      </c>
      <c r="G237" s="10">
        <v>3050</v>
      </c>
      <c r="H237" s="27">
        <v>40574.553472222222</v>
      </c>
      <c r="I237" s="27">
        <v>40878.633333333331</v>
      </c>
      <c r="J237" s="9">
        <v>387.08470588235292</v>
      </c>
      <c r="K237" s="28" t="s">
        <v>572</v>
      </c>
    </row>
    <row r="238" spans="2:11" ht="18" customHeight="1" x14ac:dyDescent="0.15">
      <c r="B238" s="48"/>
      <c r="D238" s="23">
        <v>12472</v>
      </c>
      <c r="E238" s="5">
        <v>6572.11</v>
      </c>
      <c r="F238" s="6">
        <v>7</v>
      </c>
      <c r="G238" s="6">
        <v>4148</v>
      </c>
      <c r="H238" s="24">
        <v>40517.59652777778</v>
      </c>
      <c r="I238" s="24">
        <v>40854.584027777782</v>
      </c>
      <c r="J238" s="5">
        <v>938.87285714285713</v>
      </c>
      <c r="K238" s="25" t="s">
        <v>572</v>
      </c>
    </row>
    <row r="239" spans="2:11" ht="18" customHeight="1" x14ac:dyDescent="0.15">
      <c r="B239" s="48"/>
      <c r="D239" s="26">
        <v>16814</v>
      </c>
      <c r="E239" s="9">
        <v>6509.1</v>
      </c>
      <c r="F239" s="10">
        <v>21</v>
      </c>
      <c r="G239" s="10">
        <v>2769</v>
      </c>
      <c r="H239" s="27">
        <v>40517.489583333343</v>
      </c>
      <c r="I239" s="27">
        <v>40872.560416666667</v>
      </c>
      <c r="J239" s="9">
        <v>309.95714285714291</v>
      </c>
      <c r="K239" s="28" t="s">
        <v>572</v>
      </c>
    </row>
    <row r="240" spans="2:11" ht="18" customHeight="1" x14ac:dyDescent="0.15">
      <c r="B240" s="48"/>
      <c r="D240" s="23">
        <v>12431</v>
      </c>
      <c r="E240" s="5">
        <v>6487.45</v>
      </c>
      <c r="F240" s="6">
        <v>15</v>
      </c>
      <c r="G240" s="6">
        <v>2906</v>
      </c>
      <c r="H240" s="24">
        <v>40513.418749999997</v>
      </c>
      <c r="I240" s="24">
        <v>40851.496527777781</v>
      </c>
      <c r="J240" s="5">
        <v>432.49666666666673</v>
      </c>
      <c r="K240" s="25" t="s">
        <v>572</v>
      </c>
    </row>
    <row r="241" spans="2:11" ht="18" customHeight="1" x14ac:dyDescent="0.15">
      <c r="B241" s="48"/>
      <c r="D241" s="26">
        <v>18223</v>
      </c>
      <c r="E241" s="9">
        <v>6484.54</v>
      </c>
      <c r="F241" s="10">
        <v>14</v>
      </c>
      <c r="G241" s="10">
        <v>2948</v>
      </c>
      <c r="H241" s="27">
        <v>40528.695833333331</v>
      </c>
      <c r="I241" s="27">
        <v>40882.382638888892</v>
      </c>
      <c r="J241" s="9">
        <v>463.18142857142863</v>
      </c>
      <c r="K241" s="28" t="s">
        <v>572</v>
      </c>
    </row>
    <row r="242" spans="2:11" ht="18" customHeight="1" x14ac:dyDescent="0.15">
      <c r="B242" s="48"/>
      <c r="D242" s="23">
        <v>15694</v>
      </c>
      <c r="E242" s="5">
        <v>6479.4</v>
      </c>
      <c r="F242" s="6">
        <v>14</v>
      </c>
      <c r="G242" s="6">
        <v>1677</v>
      </c>
      <c r="H242" s="24">
        <v>40514.325694444437</v>
      </c>
      <c r="I242" s="24">
        <v>40886.405555555553</v>
      </c>
      <c r="J242" s="5">
        <v>462.81428571428569</v>
      </c>
      <c r="K242" s="25" t="s">
        <v>572</v>
      </c>
    </row>
    <row r="243" spans="2:11" ht="18" customHeight="1" x14ac:dyDescent="0.15">
      <c r="B243" s="48"/>
      <c r="D243" s="26">
        <v>13225</v>
      </c>
      <c r="E243" s="9">
        <v>6463.84</v>
      </c>
      <c r="F243" s="10">
        <v>7</v>
      </c>
      <c r="G243" s="10">
        <v>3416</v>
      </c>
      <c r="H243" s="27">
        <v>40525.40902777778</v>
      </c>
      <c r="I243" s="27">
        <v>40883.561805555553</v>
      </c>
      <c r="J243" s="9">
        <v>923.40571428571434</v>
      </c>
      <c r="K243" s="28" t="s">
        <v>572</v>
      </c>
    </row>
    <row r="244" spans="2:11" ht="18" customHeight="1" x14ac:dyDescent="0.15">
      <c r="B244" s="48"/>
      <c r="D244" s="23">
        <v>13102</v>
      </c>
      <c r="E244" s="5">
        <v>6424.09</v>
      </c>
      <c r="F244" s="6">
        <v>24</v>
      </c>
      <c r="G244" s="6">
        <v>4204</v>
      </c>
      <c r="H244" s="24">
        <v>40521.568055555559</v>
      </c>
      <c r="I244" s="24">
        <v>40885.536111111112</v>
      </c>
      <c r="J244" s="5">
        <v>267.67041666666671</v>
      </c>
      <c r="K244" s="25" t="s">
        <v>572</v>
      </c>
    </row>
    <row r="245" spans="2:11" ht="18" customHeight="1" x14ac:dyDescent="0.15">
      <c r="B245" s="48"/>
      <c r="D245" s="26">
        <v>13871</v>
      </c>
      <c r="E245" s="9">
        <v>6403.25</v>
      </c>
      <c r="F245" s="10">
        <v>13</v>
      </c>
      <c r="G245" s="10">
        <v>2806</v>
      </c>
      <c r="H245" s="27">
        <v>40578.395833333343</v>
      </c>
      <c r="I245" s="27">
        <v>40864.450694444437</v>
      </c>
      <c r="J245" s="9">
        <v>492.55769230769232</v>
      </c>
      <c r="K245" s="28" t="s">
        <v>572</v>
      </c>
    </row>
    <row r="246" spans="2:11" ht="18" customHeight="1" x14ac:dyDescent="0.15">
      <c r="B246" s="48"/>
      <c r="D246" s="23">
        <v>12359</v>
      </c>
      <c r="E246" s="5">
        <v>6372.58</v>
      </c>
      <c r="F246" s="6">
        <v>4</v>
      </c>
      <c r="G246" s="6">
        <v>1622</v>
      </c>
      <c r="H246" s="24">
        <v>40555.529861111107</v>
      </c>
      <c r="I246" s="24">
        <v>40829.532638888893</v>
      </c>
      <c r="J246" s="5">
        <v>1593.145</v>
      </c>
      <c r="K246" s="25" t="s">
        <v>572</v>
      </c>
    </row>
    <row r="247" spans="2:11" ht="18" customHeight="1" x14ac:dyDescent="0.15">
      <c r="B247" s="48"/>
      <c r="D247" s="26">
        <v>13668</v>
      </c>
      <c r="E247" s="9">
        <v>6363.59</v>
      </c>
      <c r="F247" s="10">
        <v>21</v>
      </c>
      <c r="G247" s="10">
        <v>3742</v>
      </c>
      <c r="H247" s="27">
        <v>40524.524305555547</v>
      </c>
      <c r="I247" s="27">
        <v>40884.507638888892</v>
      </c>
      <c r="J247" s="9">
        <v>303.02809523809532</v>
      </c>
      <c r="K247" s="28" t="s">
        <v>572</v>
      </c>
    </row>
    <row r="248" spans="2:11" ht="18" customHeight="1" x14ac:dyDescent="0.15">
      <c r="B248" s="48"/>
      <c r="D248" s="23">
        <v>13709</v>
      </c>
      <c r="E248" s="5">
        <v>6328.05</v>
      </c>
      <c r="F248" s="6">
        <v>13</v>
      </c>
      <c r="G248" s="6">
        <v>3516</v>
      </c>
      <c r="H248" s="24">
        <v>40571.622916666667</v>
      </c>
      <c r="I248" s="24">
        <v>40883.436111111107</v>
      </c>
      <c r="J248" s="5">
        <v>486.77307692307693</v>
      </c>
      <c r="K248" s="25" t="s">
        <v>572</v>
      </c>
    </row>
    <row r="249" spans="2:11" ht="18" customHeight="1" x14ac:dyDescent="0.15">
      <c r="B249" s="48"/>
      <c r="D249" s="26">
        <v>15005</v>
      </c>
      <c r="E249" s="9">
        <v>6316.57</v>
      </c>
      <c r="F249" s="10">
        <v>28</v>
      </c>
      <c r="G249" s="10">
        <v>4247</v>
      </c>
      <c r="H249" s="27">
        <v>40520.60833333333</v>
      </c>
      <c r="I249" s="27">
        <v>40871.517361111109</v>
      </c>
      <c r="J249" s="9">
        <v>225.59178571428569</v>
      </c>
      <c r="K249" s="28" t="s">
        <v>572</v>
      </c>
    </row>
    <row r="250" spans="2:11" ht="18" customHeight="1" x14ac:dyDescent="0.15">
      <c r="B250" s="48"/>
      <c r="D250" s="23">
        <v>17315</v>
      </c>
      <c r="E250" s="5">
        <v>6292.26</v>
      </c>
      <c r="F250" s="6">
        <v>38</v>
      </c>
      <c r="G250" s="6">
        <v>3888</v>
      </c>
      <c r="H250" s="24">
        <v>40529.51666666667</v>
      </c>
      <c r="I250" s="24">
        <v>40885.510416666657</v>
      </c>
      <c r="J250" s="5">
        <v>165.5857894736842</v>
      </c>
      <c r="K250" s="25" t="s">
        <v>572</v>
      </c>
    </row>
    <row r="251" spans="2:11" ht="18" customHeight="1" x14ac:dyDescent="0.15">
      <c r="B251" s="48"/>
      <c r="D251" s="26">
        <v>16126</v>
      </c>
      <c r="E251" s="9">
        <v>6287.77</v>
      </c>
      <c r="F251" s="10">
        <v>4</v>
      </c>
      <c r="G251" s="10">
        <v>2125</v>
      </c>
      <c r="H251" s="27">
        <v>40590.470833333333</v>
      </c>
      <c r="I251" s="27">
        <v>40857.668749999997</v>
      </c>
      <c r="J251" s="9">
        <v>1571.9425000000001</v>
      </c>
      <c r="K251" s="28" t="s">
        <v>572</v>
      </c>
    </row>
    <row r="252" spans="2:11" ht="18" customHeight="1" x14ac:dyDescent="0.15">
      <c r="B252" s="48"/>
      <c r="D252" s="23">
        <v>14057</v>
      </c>
      <c r="E252" s="5">
        <v>6217.96</v>
      </c>
      <c r="F252" s="6">
        <v>17</v>
      </c>
      <c r="G252" s="6">
        <v>4876</v>
      </c>
      <c r="H252" s="24">
        <v>40526.507638888892</v>
      </c>
      <c r="I252" s="24">
        <v>40863.438888888893</v>
      </c>
      <c r="J252" s="5">
        <v>365.76235294117652</v>
      </c>
      <c r="K252" s="25" t="s">
        <v>572</v>
      </c>
    </row>
    <row r="253" spans="2:11" ht="18" customHeight="1" x14ac:dyDescent="0.15">
      <c r="B253" s="48"/>
      <c r="D253" s="26">
        <v>12357</v>
      </c>
      <c r="E253" s="9">
        <v>6207.67</v>
      </c>
      <c r="F253" s="10">
        <v>1</v>
      </c>
      <c r="G253" s="10">
        <v>2708</v>
      </c>
      <c r="H253" s="27">
        <v>40853.671527777777</v>
      </c>
      <c r="I253" s="27">
        <v>40853.671527777777</v>
      </c>
      <c r="J253" s="9">
        <v>6207.67</v>
      </c>
      <c r="K253" s="28" t="s">
        <v>573</v>
      </c>
    </row>
    <row r="254" spans="2:11" ht="18" customHeight="1" x14ac:dyDescent="0.15">
      <c r="B254" s="48"/>
      <c r="D254" s="23">
        <v>14060</v>
      </c>
      <c r="E254" s="5">
        <v>6140.42</v>
      </c>
      <c r="F254" s="6">
        <v>19</v>
      </c>
      <c r="G254" s="6">
        <v>5386</v>
      </c>
      <c r="H254" s="24">
        <v>40514.507638888892</v>
      </c>
      <c r="I254" s="24">
        <v>40882.520138888889</v>
      </c>
      <c r="J254" s="5">
        <v>323.18</v>
      </c>
      <c r="K254" s="25" t="s">
        <v>572</v>
      </c>
    </row>
    <row r="255" spans="2:11" ht="18" customHeight="1" x14ac:dyDescent="0.15">
      <c r="B255" s="48"/>
      <c r="D255" s="26">
        <v>13418</v>
      </c>
      <c r="E255" s="9">
        <v>6127.43</v>
      </c>
      <c r="F255" s="10">
        <v>18</v>
      </c>
      <c r="G255" s="10">
        <v>3918</v>
      </c>
      <c r="H255" s="27">
        <v>40514.447916666657</v>
      </c>
      <c r="I255" s="27">
        <v>40875.432638888888</v>
      </c>
      <c r="J255" s="9">
        <v>340.41277777777782</v>
      </c>
      <c r="K255" s="28" t="s">
        <v>572</v>
      </c>
    </row>
    <row r="256" spans="2:11" ht="18" customHeight="1" x14ac:dyDescent="0.15">
      <c r="B256" s="48"/>
      <c r="D256" s="23">
        <v>17509</v>
      </c>
      <c r="E256" s="5">
        <v>6115.14</v>
      </c>
      <c r="F256" s="6">
        <v>8</v>
      </c>
      <c r="G256" s="6">
        <v>3534</v>
      </c>
      <c r="H256" s="24">
        <v>40823.551388888889</v>
      </c>
      <c r="I256" s="24">
        <v>40829.43472222222</v>
      </c>
      <c r="J256" s="5">
        <v>764.39250000000004</v>
      </c>
      <c r="K256" s="25" t="s">
        <v>572</v>
      </c>
    </row>
    <row r="257" spans="2:11" ht="18" customHeight="1" x14ac:dyDescent="0.15">
      <c r="B257" s="48"/>
      <c r="D257" s="26">
        <v>15939</v>
      </c>
      <c r="E257" s="9">
        <v>6115.01</v>
      </c>
      <c r="F257" s="10">
        <v>15</v>
      </c>
      <c r="G257" s="10">
        <v>4728</v>
      </c>
      <c r="H257" s="27">
        <v>40555.529861111107</v>
      </c>
      <c r="I257" s="27">
        <v>40797.479166666657</v>
      </c>
      <c r="J257" s="9">
        <v>407.66733333333337</v>
      </c>
      <c r="K257" s="28" t="s">
        <v>572</v>
      </c>
    </row>
    <row r="258" spans="2:11" ht="18" customHeight="1" x14ac:dyDescent="0.15">
      <c r="B258" s="48"/>
      <c r="D258" s="23">
        <v>14735</v>
      </c>
      <c r="E258" s="5">
        <v>6065.69</v>
      </c>
      <c r="F258" s="6">
        <v>32</v>
      </c>
      <c r="G258" s="6">
        <v>2264</v>
      </c>
      <c r="H258" s="24">
        <v>40528.670138888891</v>
      </c>
      <c r="I258" s="24">
        <v>40883.506249999999</v>
      </c>
      <c r="J258" s="5">
        <v>189.55281249999999</v>
      </c>
      <c r="K258" s="25" t="s">
        <v>572</v>
      </c>
    </row>
    <row r="259" spans="2:11" ht="18" customHeight="1" x14ac:dyDescent="0.15">
      <c r="B259" s="48"/>
      <c r="D259" s="26">
        <v>12637</v>
      </c>
      <c r="E259" s="9">
        <v>6021.9</v>
      </c>
      <c r="F259" s="10">
        <v>8</v>
      </c>
      <c r="G259" s="10">
        <v>3002</v>
      </c>
      <c r="H259" s="27">
        <v>40563.449305555558</v>
      </c>
      <c r="I259" s="27">
        <v>40819.573611111111</v>
      </c>
      <c r="J259" s="9">
        <v>752.73749999999995</v>
      </c>
      <c r="K259" s="28" t="s">
        <v>572</v>
      </c>
    </row>
    <row r="260" spans="2:11" ht="18" customHeight="1" x14ac:dyDescent="0.15">
      <c r="B260" s="48"/>
      <c r="D260" s="23">
        <v>13097</v>
      </c>
      <c r="E260" s="5">
        <v>6010.42</v>
      </c>
      <c r="F260" s="6">
        <v>10</v>
      </c>
      <c r="G260" s="6">
        <v>2363</v>
      </c>
      <c r="H260" s="24">
        <v>40526.634027777778</v>
      </c>
      <c r="I260" s="24">
        <v>40854.446527777778</v>
      </c>
      <c r="J260" s="5">
        <v>601.04200000000003</v>
      </c>
      <c r="K260" s="25" t="s">
        <v>572</v>
      </c>
    </row>
    <row r="261" spans="2:11" ht="18" customHeight="1" x14ac:dyDescent="0.15">
      <c r="B261" s="48"/>
      <c r="D261" s="26">
        <v>13316</v>
      </c>
      <c r="E261" s="9">
        <v>5977.73</v>
      </c>
      <c r="F261" s="10">
        <v>4</v>
      </c>
      <c r="G261" s="10">
        <v>6948</v>
      </c>
      <c r="H261" s="27">
        <v>40632.542361111111</v>
      </c>
      <c r="I261" s="27">
        <v>40849.569444444453</v>
      </c>
      <c r="J261" s="9">
        <v>1494.4324999999999</v>
      </c>
      <c r="K261" s="28" t="s">
        <v>572</v>
      </c>
    </row>
    <row r="262" spans="2:11" ht="18" customHeight="1" x14ac:dyDescent="0.15">
      <c r="B262" s="48"/>
      <c r="D262" s="23">
        <v>14101</v>
      </c>
      <c r="E262" s="5">
        <v>5976.79</v>
      </c>
      <c r="F262" s="6">
        <v>6</v>
      </c>
      <c r="G262" s="6">
        <v>6942</v>
      </c>
      <c r="H262" s="24">
        <v>40560.54791666667</v>
      </c>
      <c r="I262" s="24">
        <v>40813.519444444442</v>
      </c>
      <c r="J262" s="5">
        <v>996.13166666666666</v>
      </c>
      <c r="K262" s="25" t="s">
        <v>572</v>
      </c>
    </row>
    <row r="263" spans="2:11" ht="18" customHeight="1" x14ac:dyDescent="0.15">
      <c r="B263" s="48"/>
      <c r="D263" s="26">
        <v>15382</v>
      </c>
      <c r="E263" s="9">
        <v>5955.71</v>
      </c>
      <c r="F263" s="10">
        <v>6</v>
      </c>
      <c r="G263" s="10">
        <v>4012</v>
      </c>
      <c r="H263" s="27">
        <v>40591.500694444447</v>
      </c>
      <c r="I263" s="27">
        <v>40872.456944444442</v>
      </c>
      <c r="J263" s="9">
        <v>992.61833333333334</v>
      </c>
      <c r="K263" s="28" t="s">
        <v>572</v>
      </c>
    </row>
    <row r="264" spans="2:11" ht="18" customHeight="1" x14ac:dyDescent="0.15">
      <c r="B264" s="48"/>
      <c r="D264" s="23">
        <v>14505</v>
      </c>
      <c r="E264" s="5">
        <v>5905.64</v>
      </c>
      <c r="F264" s="6">
        <v>8</v>
      </c>
      <c r="G264" s="6">
        <v>2759</v>
      </c>
      <c r="H264" s="24">
        <v>40524.676388888889</v>
      </c>
      <c r="I264" s="24">
        <v>40869.65625</v>
      </c>
      <c r="J264" s="5">
        <v>738.20500000000004</v>
      </c>
      <c r="K264" s="25" t="s">
        <v>572</v>
      </c>
    </row>
    <row r="265" spans="2:11" ht="18" customHeight="1" x14ac:dyDescent="0.15">
      <c r="B265" s="48"/>
      <c r="D265" s="26">
        <v>14415</v>
      </c>
      <c r="E265" s="9">
        <v>5900.28</v>
      </c>
      <c r="F265" s="10">
        <v>13</v>
      </c>
      <c r="G265" s="10">
        <v>3011</v>
      </c>
      <c r="H265" s="27">
        <v>40526.563194444447</v>
      </c>
      <c r="I265" s="27">
        <v>40885.609722222223</v>
      </c>
      <c r="J265" s="9">
        <v>453.86769230769232</v>
      </c>
      <c r="K265" s="28" t="s">
        <v>572</v>
      </c>
    </row>
    <row r="266" spans="2:11" ht="18" customHeight="1" x14ac:dyDescent="0.15">
      <c r="B266" s="48"/>
      <c r="D266" s="23">
        <v>14944</v>
      </c>
      <c r="E266" s="5">
        <v>5900.25</v>
      </c>
      <c r="F266" s="6">
        <v>12</v>
      </c>
      <c r="G266" s="6">
        <v>2815</v>
      </c>
      <c r="H266" s="24">
        <v>40590.532638888893</v>
      </c>
      <c r="I266" s="24">
        <v>40857.381944444453</v>
      </c>
      <c r="J266" s="5">
        <v>491.6875</v>
      </c>
      <c r="K266" s="25" t="s">
        <v>572</v>
      </c>
    </row>
    <row r="267" spans="2:11" ht="18" customHeight="1" x14ac:dyDescent="0.15">
      <c r="B267" s="48"/>
      <c r="D267" s="26">
        <v>13209</v>
      </c>
      <c r="E267" s="9">
        <v>5891.61</v>
      </c>
      <c r="F267" s="10">
        <v>8</v>
      </c>
      <c r="G267" s="10">
        <v>4253</v>
      </c>
      <c r="H267" s="27">
        <v>40525.438194444447</v>
      </c>
      <c r="I267" s="27">
        <v>40856.57916666667</v>
      </c>
      <c r="J267" s="9">
        <v>736.45124999999996</v>
      </c>
      <c r="K267" s="28" t="s">
        <v>572</v>
      </c>
    </row>
    <row r="268" spans="2:11" ht="18" customHeight="1" x14ac:dyDescent="0.15">
      <c r="B268" s="48"/>
      <c r="D268" s="23">
        <v>13534</v>
      </c>
      <c r="E268" s="5">
        <v>5870.08</v>
      </c>
      <c r="F268" s="6">
        <v>25</v>
      </c>
      <c r="G268" s="6">
        <v>2961</v>
      </c>
      <c r="H268" s="24">
        <v>40528.640972222223</v>
      </c>
      <c r="I268" s="24">
        <v>40884.619444444441</v>
      </c>
      <c r="J268" s="5">
        <v>234.8032</v>
      </c>
      <c r="K268" s="25" t="s">
        <v>572</v>
      </c>
    </row>
    <row r="269" spans="2:11" ht="18" customHeight="1" x14ac:dyDescent="0.15">
      <c r="B269" s="48"/>
      <c r="D269" s="26">
        <v>13050</v>
      </c>
      <c r="E269" s="9">
        <v>5836.86</v>
      </c>
      <c r="F269" s="10">
        <v>17</v>
      </c>
      <c r="G269" s="10">
        <v>3748</v>
      </c>
      <c r="H269" s="27">
        <v>40520.395833333343</v>
      </c>
      <c r="I269" s="27">
        <v>40872.387499999997</v>
      </c>
      <c r="J269" s="9">
        <v>343.34470588235291</v>
      </c>
      <c r="K269" s="28" t="s">
        <v>572</v>
      </c>
    </row>
    <row r="270" spans="2:11" ht="18" customHeight="1" x14ac:dyDescent="0.15">
      <c r="B270" s="48"/>
      <c r="D270" s="23">
        <v>12720</v>
      </c>
      <c r="E270" s="5">
        <v>5781.73</v>
      </c>
      <c r="F270" s="6">
        <v>25</v>
      </c>
      <c r="G270" s="6">
        <v>4672</v>
      </c>
      <c r="H270" s="24">
        <v>40517.63958333333</v>
      </c>
      <c r="I270" s="24">
        <v>40884.335416666669</v>
      </c>
      <c r="J270" s="5">
        <v>231.26920000000001</v>
      </c>
      <c r="K270" s="25" t="s">
        <v>572</v>
      </c>
    </row>
    <row r="271" spans="2:11" ht="18" customHeight="1" x14ac:dyDescent="0.15">
      <c r="B271" s="48"/>
      <c r="D271" s="26">
        <v>15218</v>
      </c>
      <c r="E271" s="9">
        <v>5756.89</v>
      </c>
      <c r="F271" s="10">
        <v>11</v>
      </c>
      <c r="G271" s="10">
        <v>3329</v>
      </c>
      <c r="H271" s="27">
        <v>40568.472222222219</v>
      </c>
      <c r="I271" s="27">
        <v>40876.491666666669</v>
      </c>
      <c r="J271" s="9">
        <v>523.35363636363638</v>
      </c>
      <c r="K271" s="28" t="s">
        <v>572</v>
      </c>
    </row>
    <row r="272" spans="2:11" ht="18" customHeight="1" x14ac:dyDescent="0.15">
      <c r="B272" s="48"/>
      <c r="D272" s="23">
        <v>17686</v>
      </c>
      <c r="E272" s="5">
        <v>5739.46</v>
      </c>
      <c r="F272" s="6">
        <v>7</v>
      </c>
      <c r="G272" s="6">
        <v>2478</v>
      </c>
      <c r="H272" s="24">
        <v>40584.429166666669</v>
      </c>
      <c r="I272" s="24">
        <v>40879.652083333327</v>
      </c>
      <c r="J272" s="5">
        <v>819.9228571428572</v>
      </c>
      <c r="K272" s="25" t="s">
        <v>572</v>
      </c>
    </row>
    <row r="273" spans="2:11" ht="18" customHeight="1" x14ac:dyDescent="0.15">
      <c r="B273" s="48"/>
      <c r="D273" s="26">
        <v>13178</v>
      </c>
      <c r="E273" s="9">
        <v>5725.47</v>
      </c>
      <c r="F273" s="10">
        <v>11</v>
      </c>
      <c r="G273" s="10">
        <v>3570</v>
      </c>
      <c r="H273" s="27">
        <v>40526.515277777777</v>
      </c>
      <c r="I273" s="27">
        <v>40860.676388888889</v>
      </c>
      <c r="J273" s="9">
        <v>520.49727272727273</v>
      </c>
      <c r="K273" s="28" t="s">
        <v>572</v>
      </c>
    </row>
    <row r="274" spans="2:11" ht="18" customHeight="1" x14ac:dyDescent="0.15">
      <c r="B274" s="48"/>
      <c r="D274" s="23">
        <v>16553</v>
      </c>
      <c r="E274" s="5">
        <v>5719.82</v>
      </c>
      <c r="F274" s="6">
        <v>12</v>
      </c>
      <c r="G274" s="6">
        <v>4600</v>
      </c>
      <c r="H274" s="24">
        <v>40526.581944444442</v>
      </c>
      <c r="I274" s="24">
        <v>40723.654166666667</v>
      </c>
      <c r="J274" s="5">
        <v>476.65166666666659</v>
      </c>
      <c r="K274" s="25" t="s">
        <v>572</v>
      </c>
    </row>
    <row r="275" spans="2:11" ht="18" customHeight="1" x14ac:dyDescent="0.15">
      <c r="B275" s="48"/>
      <c r="D275" s="26">
        <v>13468</v>
      </c>
      <c r="E275" s="9">
        <v>5704.97</v>
      </c>
      <c r="F275" s="10">
        <v>37</v>
      </c>
      <c r="G275" s="10">
        <v>2589</v>
      </c>
      <c r="H275" s="27">
        <v>40513.630555555559</v>
      </c>
      <c r="I275" s="27">
        <v>40885.443749999999</v>
      </c>
      <c r="J275" s="9">
        <v>154.18837837837839</v>
      </c>
      <c r="K275" s="28" t="s">
        <v>572</v>
      </c>
    </row>
    <row r="276" spans="2:11" ht="18" customHeight="1" x14ac:dyDescent="0.15">
      <c r="B276" s="48"/>
      <c r="D276" s="23">
        <v>14110</v>
      </c>
      <c r="E276" s="5">
        <v>5683.15</v>
      </c>
      <c r="F276" s="6">
        <v>12</v>
      </c>
      <c r="G276" s="6">
        <v>2445</v>
      </c>
      <c r="H276" s="24">
        <v>40620.415972222218</v>
      </c>
      <c r="I276" s="24">
        <v>40883.518055555563</v>
      </c>
      <c r="J276" s="5">
        <v>473.5958333333333</v>
      </c>
      <c r="K276" s="25" t="s">
        <v>572</v>
      </c>
    </row>
    <row r="277" spans="2:11" ht="18" customHeight="1" x14ac:dyDescent="0.15">
      <c r="B277" s="48"/>
      <c r="D277" s="26">
        <v>14049</v>
      </c>
      <c r="E277" s="9">
        <v>5681.72</v>
      </c>
      <c r="F277" s="10">
        <v>4</v>
      </c>
      <c r="G277" s="10">
        <v>3870</v>
      </c>
      <c r="H277" s="27">
        <v>40569.477083333331</v>
      </c>
      <c r="I277" s="27">
        <v>40870.513888888891</v>
      </c>
      <c r="J277" s="9">
        <v>1420.43</v>
      </c>
      <c r="K277" s="28" t="s">
        <v>572</v>
      </c>
    </row>
    <row r="278" spans="2:11" ht="18" customHeight="1" x14ac:dyDescent="0.15">
      <c r="B278" s="48"/>
      <c r="D278" s="23">
        <v>17049</v>
      </c>
      <c r="E278" s="5">
        <v>5659.98</v>
      </c>
      <c r="F278" s="6">
        <v>9</v>
      </c>
      <c r="G278" s="6">
        <v>2676</v>
      </c>
      <c r="H278" s="24">
        <v>40611.356249999997</v>
      </c>
      <c r="I278" s="24">
        <v>40884.449999999997</v>
      </c>
      <c r="J278" s="5">
        <v>628.88666666666677</v>
      </c>
      <c r="K278" s="25" t="s">
        <v>572</v>
      </c>
    </row>
    <row r="279" spans="2:11" ht="18" customHeight="1" x14ac:dyDescent="0.15">
      <c r="B279" s="48"/>
      <c r="D279" s="26">
        <v>17716</v>
      </c>
      <c r="E279" s="9">
        <v>5655.99</v>
      </c>
      <c r="F279" s="10">
        <v>11</v>
      </c>
      <c r="G279" s="10">
        <v>3072</v>
      </c>
      <c r="H279" s="27">
        <v>40619.443055555559</v>
      </c>
      <c r="I279" s="27">
        <v>40864.5</v>
      </c>
      <c r="J279" s="9">
        <v>514.18090909090904</v>
      </c>
      <c r="K279" s="28" t="s">
        <v>572</v>
      </c>
    </row>
    <row r="280" spans="2:11" ht="18" customHeight="1" x14ac:dyDescent="0.15">
      <c r="B280" s="48"/>
      <c r="D280" s="23">
        <v>13004</v>
      </c>
      <c r="E280" s="5">
        <v>5655.91</v>
      </c>
      <c r="F280" s="6">
        <v>18</v>
      </c>
      <c r="G280" s="6">
        <v>4822</v>
      </c>
      <c r="H280" s="24">
        <v>40529.347222222219</v>
      </c>
      <c r="I280" s="24">
        <v>40875.477083333331</v>
      </c>
      <c r="J280" s="5">
        <v>314.21722222222218</v>
      </c>
      <c r="K280" s="25" t="s">
        <v>572</v>
      </c>
    </row>
    <row r="281" spans="2:11" ht="18" customHeight="1" x14ac:dyDescent="0.15">
      <c r="B281" s="48"/>
      <c r="D281" s="26">
        <v>18118</v>
      </c>
      <c r="E281" s="9">
        <v>5653.82</v>
      </c>
      <c r="F281" s="10">
        <v>26</v>
      </c>
      <c r="G281" s="10">
        <v>2882</v>
      </c>
      <c r="H281" s="27">
        <v>40517.509027777778</v>
      </c>
      <c r="I281" s="27">
        <v>40876.480555555558</v>
      </c>
      <c r="J281" s="9">
        <v>217.45461538461541</v>
      </c>
      <c r="K281" s="28" t="s">
        <v>572</v>
      </c>
    </row>
    <row r="282" spans="2:11" ht="18" customHeight="1" x14ac:dyDescent="0.15">
      <c r="B282" s="48"/>
      <c r="D282" s="23">
        <v>14688</v>
      </c>
      <c r="E282" s="5">
        <v>5630.87</v>
      </c>
      <c r="F282" s="6">
        <v>21</v>
      </c>
      <c r="G282" s="6">
        <v>3621</v>
      </c>
      <c r="H282" s="24">
        <v>40513.400694444441</v>
      </c>
      <c r="I282" s="24">
        <v>40879.518055555563</v>
      </c>
      <c r="J282" s="5">
        <v>268.13666666666671</v>
      </c>
      <c r="K282" s="25" t="s">
        <v>572</v>
      </c>
    </row>
    <row r="283" spans="2:11" ht="18" customHeight="1" x14ac:dyDescent="0.15">
      <c r="B283" s="48"/>
      <c r="D283" s="26">
        <v>17757</v>
      </c>
      <c r="E283" s="9">
        <v>5605.29</v>
      </c>
      <c r="F283" s="10">
        <v>30</v>
      </c>
      <c r="G283" s="10">
        <v>3320</v>
      </c>
      <c r="H283" s="27">
        <v>40514.720138888893</v>
      </c>
      <c r="I283" s="27">
        <v>40885.646527777782</v>
      </c>
      <c r="J283" s="9">
        <v>186.84299999999999</v>
      </c>
      <c r="K283" s="28" t="s">
        <v>572</v>
      </c>
    </row>
    <row r="284" spans="2:11" ht="18" customHeight="1" x14ac:dyDescent="0.15">
      <c r="B284" s="48"/>
      <c r="D284" s="23">
        <v>12481</v>
      </c>
      <c r="E284" s="5">
        <v>5596.32</v>
      </c>
      <c r="F284" s="6">
        <v>10</v>
      </c>
      <c r="G284" s="6">
        <v>3304</v>
      </c>
      <c r="H284" s="24">
        <v>40521.425694444442</v>
      </c>
      <c r="I284" s="24">
        <v>40864.353472222218</v>
      </c>
      <c r="J284" s="5">
        <v>559.63199999999995</v>
      </c>
      <c r="K284" s="25" t="s">
        <v>572</v>
      </c>
    </row>
    <row r="285" spans="2:11" ht="18" customHeight="1" x14ac:dyDescent="0.15">
      <c r="B285" s="48"/>
      <c r="D285" s="26">
        <v>12839</v>
      </c>
      <c r="E285" s="9">
        <v>5591.42</v>
      </c>
      <c r="F285" s="10">
        <v>14</v>
      </c>
      <c r="G285" s="10">
        <v>3807</v>
      </c>
      <c r="H285" s="27">
        <v>40519.658333333333</v>
      </c>
      <c r="I285" s="27">
        <v>40884.522916666669</v>
      </c>
      <c r="J285" s="9">
        <v>399.38714285714292</v>
      </c>
      <c r="K285" s="28" t="s">
        <v>572</v>
      </c>
    </row>
    <row r="286" spans="2:11" ht="18" customHeight="1" x14ac:dyDescent="0.15">
      <c r="B286" s="48"/>
      <c r="D286" s="23">
        <v>16767</v>
      </c>
      <c r="E286" s="5">
        <v>5580.6</v>
      </c>
      <c r="F286" s="6">
        <v>11</v>
      </c>
      <c r="G286" s="6">
        <v>4435</v>
      </c>
      <c r="H286" s="24">
        <v>40570.568055555559</v>
      </c>
      <c r="I286" s="24">
        <v>40856.404166666667</v>
      </c>
      <c r="J286" s="5">
        <v>507.32727272727283</v>
      </c>
      <c r="K286" s="25" t="s">
        <v>572</v>
      </c>
    </row>
    <row r="287" spans="2:11" ht="18" customHeight="1" x14ac:dyDescent="0.15">
      <c r="B287" s="48"/>
      <c r="D287" s="26">
        <v>16161</v>
      </c>
      <c r="E287" s="9">
        <v>5575.56</v>
      </c>
      <c r="F287" s="10">
        <v>19</v>
      </c>
      <c r="G287" s="10">
        <v>2599</v>
      </c>
      <c r="H287" s="27">
        <v>40518.418749999997</v>
      </c>
      <c r="I287" s="27">
        <v>40885.506944444453</v>
      </c>
      <c r="J287" s="9">
        <v>293.45052631578949</v>
      </c>
      <c r="K287" s="28" t="s">
        <v>572</v>
      </c>
    </row>
    <row r="288" spans="2:11" ht="18" customHeight="1" x14ac:dyDescent="0.15">
      <c r="B288" s="48"/>
      <c r="D288" s="23">
        <v>12539</v>
      </c>
      <c r="E288" s="5">
        <v>5568.35</v>
      </c>
      <c r="F288" s="6">
        <v>4</v>
      </c>
      <c r="G288" s="6">
        <v>2067</v>
      </c>
      <c r="H288" s="24">
        <v>40553.382638888892</v>
      </c>
      <c r="I288" s="24">
        <v>40864.5625</v>
      </c>
      <c r="J288" s="5">
        <v>1392.0875000000001</v>
      </c>
      <c r="K288" s="25" t="s">
        <v>572</v>
      </c>
    </row>
    <row r="289" spans="2:11" ht="18" customHeight="1" x14ac:dyDescent="0.15">
      <c r="B289" s="48"/>
      <c r="D289" s="26">
        <v>15805</v>
      </c>
      <c r="E289" s="9">
        <v>5528.48</v>
      </c>
      <c r="F289" s="10">
        <v>17</v>
      </c>
      <c r="G289" s="10">
        <v>3387</v>
      </c>
      <c r="H289" s="27">
        <v>40522.397916666669</v>
      </c>
      <c r="I289" s="27">
        <v>40863.688888888893</v>
      </c>
      <c r="J289" s="9">
        <v>325.20470588235298</v>
      </c>
      <c r="K289" s="28" t="s">
        <v>572</v>
      </c>
    </row>
    <row r="290" spans="2:11" ht="18" customHeight="1" x14ac:dyDescent="0.15">
      <c r="B290" s="48"/>
      <c r="D290" s="23">
        <v>18225</v>
      </c>
      <c r="E290" s="5">
        <v>5509.12</v>
      </c>
      <c r="F290" s="6">
        <v>12</v>
      </c>
      <c r="G290" s="6">
        <v>3244</v>
      </c>
      <c r="H290" s="24">
        <v>40521.656944444447</v>
      </c>
      <c r="I290" s="24">
        <v>40883.560416666667</v>
      </c>
      <c r="J290" s="5">
        <v>459.09333333333331</v>
      </c>
      <c r="K290" s="25" t="s">
        <v>572</v>
      </c>
    </row>
    <row r="291" spans="2:11" ht="18" customHeight="1" x14ac:dyDescent="0.15">
      <c r="B291" s="48"/>
      <c r="D291" s="26">
        <v>16609</v>
      </c>
      <c r="E291" s="9">
        <v>5493.46</v>
      </c>
      <c r="F291" s="10">
        <v>7</v>
      </c>
      <c r="G291" s="10">
        <v>2420</v>
      </c>
      <c r="H291" s="27">
        <v>40634.424305555563</v>
      </c>
      <c r="I291" s="27">
        <v>40871.563888888893</v>
      </c>
      <c r="J291" s="9">
        <v>784.78</v>
      </c>
      <c r="K291" s="28" t="s">
        <v>572</v>
      </c>
    </row>
    <row r="292" spans="2:11" ht="18" customHeight="1" x14ac:dyDescent="0.15">
      <c r="B292" s="48"/>
      <c r="D292" s="23">
        <v>16985</v>
      </c>
      <c r="E292" s="5">
        <v>5464.12</v>
      </c>
      <c r="F292" s="6">
        <v>10</v>
      </c>
      <c r="G292" s="6">
        <v>1832</v>
      </c>
      <c r="H292" s="24">
        <v>40528.443055555559</v>
      </c>
      <c r="I292" s="24">
        <v>40869.564583333333</v>
      </c>
      <c r="J292" s="5">
        <v>546.41200000000003</v>
      </c>
      <c r="K292" s="25" t="s">
        <v>572</v>
      </c>
    </row>
    <row r="293" spans="2:11" ht="18" customHeight="1" x14ac:dyDescent="0.15">
      <c r="B293" s="48"/>
      <c r="D293" s="26">
        <v>16265</v>
      </c>
      <c r="E293" s="9">
        <v>5447</v>
      </c>
      <c r="F293" s="10">
        <v>9</v>
      </c>
      <c r="G293" s="10">
        <v>2646</v>
      </c>
      <c r="H293" s="27">
        <v>40522.431250000001</v>
      </c>
      <c r="I293" s="27">
        <v>40877.695138888892</v>
      </c>
      <c r="J293" s="9">
        <v>605.22222222222217</v>
      </c>
      <c r="K293" s="28" t="s">
        <v>572</v>
      </c>
    </row>
    <row r="294" spans="2:11" ht="18" customHeight="1" x14ac:dyDescent="0.15">
      <c r="B294" s="48"/>
      <c r="D294" s="23">
        <v>18198</v>
      </c>
      <c r="E294" s="5">
        <v>5425.56</v>
      </c>
      <c r="F294" s="6">
        <v>17</v>
      </c>
      <c r="G294" s="6">
        <v>4074</v>
      </c>
      <c r="H294" s="24">
        <v>40550.568749999999</v>
      </c>
      <c r="I294" s="24">
        <v>40882.617361111108</v>
      </c>
      <c r="J294" s="5">
        <v>319.15058823529421</v>
      </c>
      <c r="K294" s="25" t="s">
        <v>572</v>
      </c>
    </row>
    <row r="295" spans="2:11" ht="18" customHeight="1" x14ac:dyDescent="0.15">
      <c r="B295" s="48"/>
      <c r="D295" s="26">
        <v>12490</v>
      </c>
      <c r="E295" s="9">
        <v>5417.93</v>
      </c>
      <c r="F295" s="10">
        <v>10</v>
      </c>
      <c r="G295" s="10">
        <v>3064</v>
      </c>
      <c r="H295" s="27">
        <v>40557.384027777778</v>
      </c>
      <c r="I295" s="27">
        <v>40881.671527777777</v>
      </c>
      <c r="J295" s="9">
        <v>541.79300000000001</v>
      </c>
      <c r="K295" s="28" t="s">
        <v>572</v>
      </c>
    </row>
    <row r="296" spans="2:11" ht="18" customHeight="1" x14ac:dyDescent="0.15">
      <c r="B296" s="48"/>
      <c r="D296" s="23">
        <v>17809</v>
      </c>
      <c r="E296" s="5">
        <v>5411.91</v>
      </c>
      <c r="F296" s="6">
        <v>12</v>
      </c>
      <c r="G296" s="6">
        <v>2057</v>
      </c>
      <c r="H296" s="24">
        <v>40513.40347222222</v>
      </c>
      <c r="I296" s="24">
        <v>40870.540972222218</v>
      </c>
      <c r="J296" s="5">
        <v>450.99250000000001</v>
      </c>
      <c r="K296" s="25" t="s">
        <v>572</v>
      </c>
    </row>
    <row r="297" spans="2:11" ht="18" customHeight="1" x14ac:dyDescent="0.15">
      <c r="B297" s="48"/>
      <c r="D297" s="26">
        <v>16701</v>
      </c>
      <c r="E297" s="9">
        <v>5398.3</v>
      </c>
      <c r="F297" s="10">
        <v>13</v>
      </c>
      <c r="G297" s="10">
        <v>6393</v>
      </c>
      <c r="H297" s="27">
        <v>40525.493750000001</v>
      </c>
      <c r="I297" s="27">
        <v>40878.465277777781</v>
      </c>
      <c r="J297" s="9">
        <v>415.25384615384621</v>
      </c>
      <c r="K297" s="28" t="s">
        <v>572</v>
      </c>
    </row>
    <row r="298" spans="2:11" ht="18" customHeight="1" x14ac:dyDescent="0.15">
      <c r="B298" s="48"/>
      <c r="D298" s="23">
        <v>17719</v>
      </c>
      <c r="E298" s="5">
        <v>5396.04</v>
      </c>
      <c r="F298" s="6">
        <v>15</v>
      </c>
      <c r="G298" s="6">
        <v>2466</v>
      </c>
      <c r="H298" s="24">
        <v>40631.478472222218</v>
      </c>
      <c r="I298" s="24">
        <v>40849.441666666673</v>
      </c>
      <c r="J298" s="5">
        <v>359.73599999999999</v>
      </c>
      <c r="K298" s="25" t="s">
        <v>572</v>
      </c>
    </row>
    <row r="299" spans="2:11" ht="18" customHeight="1" x14ac:dyDescent="0.15">
      <c r="B299" s="48"/>
      <c r="D299" s="26">
        <v>17850</v>
      </c>
      <c r="E299" s="9">
        <v>5391.21</v>
      </c>
      <c r="F299" s="10">
        <v>34</v>
      </c>
      <c r="G299" s="10">
        <v>1733</v>
      </c>
      <c r="H299" s="27">
        <v>40513.351388888892</v>
      </c>
      <c r="I299" s="27">
        <v>40514.643750000003</v>
      </c>
      <c r="J299" s="9">
        <v>158.565</v>
      </c>
      <c r="K299" s="28" t="s">
        <v>572</v>
      </c>
    </row>
    <row r="300" spans="2:11" ht="18" customHeight="1" x14ac:dyDescent="0.15">
      <c r="B300" s="48"/>
      <c r="D300" s="23">
        <v>16303</v>
      </c>
      <c r="E300" s="5">
        <v>5360.63</v>
      </c>
      <c r="F300" s="6">
        <v>3</v>
      </c>
      <c r="G300" s="6">
        <v>2659</v>
      </c>
      <c r="H300" s="24">
        <v>40553.594444444447</v>
      </c>
      <c r="I300" s="24">
        <v>40861.450694444437</v>
      </c>
      <c r="J300" s="5">
        <v>1786.876666666667</v>
      </c>
      <c r="K300" s="25" t="s">
        <v>572</v>
      </c>
    </row>
    <row r="301" spans="2:11" ht="18" customHeight="1" x14ac:dyDescent="0.15">
      <c r="B301" s="48"/>
      <c r="D301" s="26">
        <v>13269</v>
      </c>
      <c r="E301" s="9">
        <v>5346.23</v>
      </c>
      <c r="F301" s="10">
        <v>15</v>
      </c>
      <c r="G301" s="10">
        <v>3514</v>
      </c>
      <c r="H301" s="27">
        <v>40517.493750000001</v>
      </c>
      <c r="I301" s="27">
        <v>40885.620138888888</v>
      </c>
      <c r="J301" s="9">
        <v>356.41533333333342</v>
      </c>
      <c r="K301" s="28" t="s">
        <v>572</v>
      </c>
    </row>
    <row r="302" spans="2:11" ht="18" customHeight="1" x14ac:dyDescent="0.15">
      <c r="B302" s="48"/>
      <c r="D302" s="23">
        <v>15150</v>
      </c>
      <c r="E302" s="5">
        <v>5314.47</v>
      </c>
      <c r="F302" s="6">
        <v>10</v>
      </c>
      <c r="G302" s="6">
        <v>3658</v>
      </c>
      <c r="H302" s="24">
        <v>40617.597916666673</v>
      </c>
      <c r="I302" s="24">
        <v>40869.536111111112</v>
      </c>
      <c r="J302" s="5">
        <v>531.447</v>
      </c>
      <c r="K302" s="25" t="s">
        <v>572</v>
      </c>
    </row>
    <row r="303" spans="2:11" ht="18" customHeight="1" x14ac:dyDescent="0.15">
      <c r="B303" s="48"/>
      <c r="D303" s="26">
        <v>17730</v>
      </c>
      <c r="E303" s="9">
        <v>5298.48</v>
      </c>
      <c r="F303" s="10">
        <v>13</v>
      </c>
      <c r="G303" s="10">
        <v>3576</v>
      </c>
      <c r="H303" s="27">
        <v>40560.617361111108</v>
      </c>
      <c r="I303" s="27">
        <v>40883.654861111107</v>
      </c>
      <c r="J303" s="9">
        <v>407.57538461538468</v>
      </c>
      <c r="K303" s="28" t="s">
        <v>572</v>
      </c>
    </row>
    <row r="304" spans="2:11" ht="18" customHeight="1" x14ac:dyDescent="0.15">
      <c r="B304" s="48"/>
      <c r="D304" s="23">
        <v>17061</v>
      </c>
      <c r="E304" s="5">
        <v>5232.2299999999996</v>
      </c>
      <c r="F304" s="6">
        <v>11</v>
      </c>
      <c r="G304" s="6">
        <v>1526</v>
      </c>
      <c r="H304" s="24">
        <v>40654.561805555553</v>
      </c>
      <c r="I304" s="24">
        <v>40813.474999999999</v>
      </c>
      <c r="J304" s="5">
        <v>475.65727272727281</v>
      </c>
      <c r="K304" s="25" t="s">
        <v>572</v>
      </c>
    </row>
    <row r="305" spans="2:11" ht="18" customHeight="1" x14ac:dyDescent="0.15">
      <c r="B305" s="48"/>
      <c r="D305" s="26">
        <v>18226</v>
      </c>
      <c r="E305" s="9">
        <v>5228.05</v>
      </c>
      <c r="F305" s="10">
        <v>11</v>
      </c>
      <c r="G305" s="10">
        <v>3466</v>
      </c>
      <c r="H305" s="27">
        <v>40549.375</v>
      </c>
      <c r="I305" s="27">
        <v>40842.566666666673</v>
      </c>
      <c r="J305" s="9">
        <v>475.27727272727282</v>
      </c>
      <c r="K305" s="28" t="s">
        <v>572</v>
      </c>
    </row>
    <row r="306" spans="2:11" ht="18" customHeight="1" x14ac:dyDescent="0.15">
      <c r="B306" s="48"/>
      <c r="D306" s="23">
        <v>12362</v>
      </c>
      <c r="E306" s="5">
        <v>5226.2299999999996</v>
      </c>
      <c r="F306" s="6">
        <v>10</v>
      </c>
      <c r="G306" s="6">
        <v>2229</v>
      </c>
      <c r="H306" s="24">
        <v>40591.4375</v>
      </c>
      <c r="I306" s="24">
        <v>40883.652777777781</v>
      </c>
      <c r="J306" s="5">
        <v>522.62299999999993</v>
      </c>
      <c r="K306" s="25" t="s">
        <v>572</v>
      </c>
    </row>
    <row r="307" spans="2:11" ht="18" customHeight="1" x14ac:dyDescent="0.15">
      <c r="B307" s="48"/>
      <c r="D307" s="26">
        <v>15046</v>
      </c>
      <c r="E307" s="9">
        <v>5213.7700000000004</v>
      </c>
      <c r="F307" s="10">
        <v>15</v>
      </c>
      <c r="G307" s="10">
        <v>3451</v>
      </c>
      <c r="H307" s="27">
        <v>40548.645833333343</v>
      </c>
      <c r="I307" s="27">
        <v>40877.659722222219</v>
      </c>
      <c r="J307" s="9">
        <v>347.58466666666658</v>
      </c>
      <c r="K307" s="28" t="s">
        <v>572</v>
      </c>
    </row>
    <row r="308" spans="2:11" ht="18" customHeight="1" x14ac:dyDescent="0.15">
      <c r="B308" s="48"/>
      <c r="D308" s="23">
        <v>16258</v>
      </c>
      <c r="E308" s="5">
        <v>5203.51</v>
      </c>
      <c r="F308" s="6">
        <v>5</v>
      </c>
      <c r="G308" s="6">
        <v>2994</v>
      </c>
      <c r="H308" s="24">
        <v>40667.606249999997</v>
      </c>
      <c r="I308" s="24">
        <v>40841.5625</v>
      </c>
      <c r="J308" s="5">
        <v>1040.702</v>
      </c>
      <c r="K308" s="25" t="s">
        <v>572</v>
      </c>
    </row>
    <row r="309" spans="2:11" ht="18" customHeight="1" x14ac:dyDescent="0.15">
      <c r="B309" s="48"/>
      <c r="D309" s="26">
        <v>13756</v>
      </c>
      <c r="E309" s="9">
        <v>5189.5200000000004</v>
      </c>
      <c r="F309" s="10">
        <v>14</v>
      </c>
      <c r="G309" s="10">
        <v>3188</v>
      </c>
      <c r="H309" s="27">
        <v>40519.486805555563</v>
      </c>
      <c r="I309" s="27">
        <v>40884.697222222218</v>
      </c>
      <c r="J309" s="9">
        <v>370.68</v>
      </c>
      <c r="K309" s="28" t="s">
        <v>572</v>
      </c>
    </row>
    <row r="310" spans="2:11" ht="18" customHeight="1" x14ac:dyDescent="0.15">
      <c r="B310" s="48"/>
      <c r="D310" s="23">
        <v>16191</v>
      </c>
      <c r="E310" s="5">
        <v>5180.5200000000004</v>
      </c>
      <c r="F310" s="6">
        <v>13</v>
      </c>
      <c r="G310" s="6">
        <v>3351</v>
      </c>
      <c r="H310" s="24">
        <v>40526.526388888888</v>
      </c>
      <c r="I310" s="24">
        <v>40884.476388888892</v>
      </c>
      <c r="J310" s="5">
        <v>398.50153846153847</v>
      </c>
      <c r="K310" s="25" t="s">
        <v>572</v>
      </c>
    </row>
    <row r="311" spans="2:11" ht="18" customHeight="1" x14ac:dyDescent="0.15">
      <c r="B311" s="48"/>
      <c r="D311" s="26">
        <v>15727</v>
      </c>
      <c r="E311" s="9">
        <v>5178.96</v>
      </c>
      <c r="F311" s="10">
        <v>7</v>
      </c>
      <c r="G311" s="10">
        <v>3065</v>
      </c>
      <c r="H311" s="27">
        <v>40527.657638888893</v>
      </c>
      <c r="I311" s="27">
        <v>40870.525000000001</v>
      </c>
      <c r="J311" s="9">
        <v>739.85142857142853</v>
      </c>
      <c r="K311" s="28" t="s">
        <v>572</v>
      </c>
    </row>
    <row r="312" spans="2:11" ht="18" customHeight="1" x14ac:dyDescent="0.15">
      <c r="B312" s="48"/>
      <c r="D312" s="23">
        <v>17858</v>
      </c>
      <c r="E312" s="5">
        <v>5155.66</v>
      </c>
      <c r="F312" s="6">
        <v>12</v>
      </c>
      <c r="G312" s="6">
        <v>2706</v>
      </c>
      <c r="H312" s="24">
        <v>40517.547222222223</v>
      </c>
      <c r="I312" s="24">
        <v>40881.49722222222</v>
      </c>
      <c r="J312" s="5">
        <v>429.63833333333332</v>
      </c>
      <c r="K312" s="25" t="s">
        <v>572</v>
      </c>
    </row>
    <row r="313" spans="2:11" ht="18" customHeight="1" x14ac:dyDescent="0.15">
      <c r="B313" s="48"/>
      <c r="D313" s="26">
        <v>13599</v>
      </c>
      <c r="E313" s="9">
        <v>5153.67</v>
      </c>
      <c r="F313" s="10">
        <v>21</v>
      </c>
      <c r="G313" s="10">
        <v>3294</v>
      </c>
      <c r="H313" s="27">
        <v>40520.424305555563</v>
      </c>
      <c r="I313" s="27">
        <v>40885.673611111109</v>
      </c>
      <c r="J313" s="9">
        <v>245.41285714285709</v>
      </c>
      <c r="K313" s="28" t="s">
        <v>572</v>
      </c>
    </row>
    <row r="314" spans="2:11" ht="18" customHeight="1" x14ac:dyDescent="0.15">
      <c r="B314" s="48"/>
      <c r="D314" s="23">
        <v>15903</v>
      </c>
      <c r="E314" s="5">
        <v>5126.76</v>
      </c>
      <c r="F314" s="6">
        <v>7</v>
      </c>
      <c r="G314" s="6">
        <v>2410</v>
      </c>
      <c r="H314" s="24">
        <v>40591.586111111108</v>
      </c>
      <c r="I314" s="24">
        <v>40877.338888888888</v>
      </c>
      <c r="J314" s="5">
        <v>732.39428571428573</v>
      </c>
      <c r="K314" s="25" t="s">
        <v>572</v>
      </c>
    </row>
    <row r="315" spans="2:11" ht="18" customHeight="1" x14ac:dyDescent="0.15">
      <c r="B315" s="48"/>
      <c r="D315" s="26">
        <v>13941</v>
      </c>
      <c r="E315" s="9">
        <v>5112.96</v>
      </c>
      <c r="F315" s="10">
        <v>5</v>
      </c>
      <c r="G315" s="10">
        <v>2364</v>
      </c>
      <c r="H315" s="27">
        <v>40514.428472222222</v>
      </c>
      <c r="I315" s="27">
        <v>40865.404861111107</v>
      </c>
      <c r="J315" s="9">
        <v>1022.592</v>
      </c>
      <c r="K315" s="28" t="s">
        <v>572</v>
      </c>
    </row>
    <row r="316" spans="2:11" ht="18" customHeight="1" x14ac:dyDescent="0.15">
      <c r="B316" s="48"/>
      <c r="D316" s="23">
        <v>17602</v>
      </c>
      <c r="E316" s="5">
        <v>5102.97</v>
      </c>
      <c r="F316" s="6">
        <v>6</v>
      </c>
      <c r="G316" s="6">
        <v>4151</v>
      </c>
      <c r="H316" s="24">
        <v>40562.679166666669</v>
      </c>
      <c r="I316" s="24">
        <v>40884.578472222223</v>
      </c>
      <c r="J316" s="5">
        <v>850.495</v>
      </c>
      <c r="K316" s="25" t="s">
        <v>572</v>
      </c>
    </row>
    <row r="317" spans="2:11" ht="18" customHeight="1" x14ac:dyDescent="0.15">
      <c r="B317" s="48"/>
      <c r="D317" s="26">
        <v>16700</v>
      </c>
      <c r="E317" s="9">
        <v>5076.55</v>
      </c>
      <c r="F317" s="10">
        <v>13</v>
      </c>
      <c r="G317" s="10">
        <v>4024</v>
      </c>
      <c r="H317" s="27">
        <v>40520.69027777778</v>
      </c>
      <c r="I317" s="27">
        <v>40878.458333333343</v>
      </c>
      <c r="J317" s="9">
        <v>390.50384615384621</v>
      </c>
      <c r="K317" s="28" t="s">
        <v>572</v>
      </c>
    </row>
    <row r="318" spans="2:11" ht="18" customHeight="1" x14ac:dyDescent="0.15">
      <c r="B318" s="48"/>
      <c r="D318" s="23">
        <v>14562</v>
      </c>
      <c r="E318" s="5">
        <v>5074.7700000000004</v>
      </c>
      <c r="F318" s="6">
        <v>18</v>
      </c>
      <c r="G318" s="6">
        <v>1834</v>
      </c>
      <c r="H318" s="24">
        <v>40582.614583333343</v>
      </c>
      <c r="I318" s="24">
        <v>40883.461805555547</v>
      </c>
      <c r="J318" s="5">
        <v>281.93166666666667</v>
      </c>
      <c r="K318" s="25" t="s">
        <v>572</v>
      </c>
    </row>
    <row r="319" spans="2:11" ht="18" customHeight="1" x14ac:dyDescent="0.15">
      <c r="B319" s="48"/>
      <c r="D319" s="26">
        <v>15301</v>
      </c>
      <c r="E319" s="9">
        <v>5070.3500000000004</v>
      </c>
      <c r="F319" s="10">
        <v>12</v>
      </c>
      <c r="G319" s="10">
        <v>2775</v>
      </c>
      <c r="H319" s="27">
        <v>40518.51458333333</v>
      </c>
      <c r="I319" s="27">
        <v>40836.414583333331</v>
      </c>
      <c r="J319" s="9">
        <v>422.5291666666667</v>
      </c>
      <c r="K319" s="28" t="s">
        <v>572</v>
      </c>
    </row>
    <row r="320" spans="2:11" ht="18" customHeight="1" x14ac:dyDescent="0.15">
      <c r="B320" s="48"/>
      <c r="D320" s="23">
        <v>13139</v>
      </c>
      <c r="E320" s="5">
        <v>5064.9399999999996</v>
      </c>
      <c r="F320" s="6">
        <v>7</v>
      </c>
      <c r="G320" s="6">
        <v>2425</v>
      </c>
      <c r="H320" s="24">
        <v>40627.497916666667</v>
      </c>
      <c r="I320" s="24">
        <v>40870.57916666667</v>
      </c>
      <c r="J320" s="5">
        <v>723.56285714285707</v>
      </c>
      <c r="K320" s="25" t="s">
        <v>572</v>
      </c>
    </row>
    <row r="321" spans="2:11" ht="18" customHeight="1" x14ac:dyDescent="0.15">
      <c r="B321" s="48"/>
      <c r="D321" s="26">
        <v>12432</v>
      </c>
      <c r="E321" s="9">
        <v>5059.32</v>
      </c>
      <c r="F321" s="10">
        <v>5</v>
      </c>
      <c r="G321" s="10">
        <v>1801</v>
      </c>
      <c r="H321" s="27">
        <v>40714.560416666667</v>
      </c>
      <c r="I321" s="27">
        <v>40844.488194444442</v>
      </c>
      <c r="J321" s="9">
        <v>1011.864</v>
      </c>
      <c r="K321" s="28" t="s">
        <v>572</v>
      </c>
    </row>
    <row r="322" spans="2:11" ht="18" customHeight="1" x14ac:dyDescent="0.15">
      <c r="B322" s="48"/>
      <c r="D322" s="23">
        <v>15719</v>
      </c>
      <c r="E322" s="5">
        <v>5045.6099999999997</v>
      </c>
      <c r="F322" s="6">
        <v>13</v>
      </c>
      <c r="G322" s="6">
        <v>2725</v>
      </c>
      <c r="H322" s="24">
        <v>40549.521527777782</v>
      </c>
      <c r="I322" s="24">
        <v>40854.520138888889</v>
      </c>
      <c r="J322" s="5">
        <v>388.1238461538461</v>
      </c>
      <c r="K322" s="25" t="s">
        <v>572</v>
      </c>
    </row>
    <row r="323" spans="2:11" ht="18" customHeight="1" x14ac:dyDescent="0.15">
      <c r="B323" s="48"/>
      <c r="D323" s="26">
        <v>17426</v>
      </c>
      <c r="E323" s="9">
        <v>5037.26</v>
      </c>
      <c r="F323" s="10">
        <v>6</v>
      </c>
      <c r="G323" s="10">
        <v>3094</v>
      </c>
      <c r="H323" s="27">
        <v>40604.69027777778</v>
      </c>
      <c r="I323" s="27">
        <v>40878.754861111112</v>
      </c>
      <c r="J323" s="9">
        <v>839.54333333333341</v>
      </c>
      <c r="K323" s="28" t="s">
        <v>572</v>
      </c>
    </row>
    <row r="324" spans="2:11" ht="18" customHeight="1" x14ac:dyDescent="0.15">
      <c r="B324" s="48"/>
      <c r="D324" s="23">
        <v>14329</v>
      </c>
      <c r="E324" s="5">
        <v>5014.84</v>
      </c>
      <c r="F324" s="6">
        <v>7</v>
      </c>
      <c r="G324" s="6">
        <v>3095</v>
      </c>
      <c r="H324" s="24">
        <v>40557.570833333331</v>
      </c>
      <c r="I324" s="24">
        <v>40869.659722222219</v>
      </c>
      <c r="J324" s="5">
        <v>716.40571428571434</v>
      </c>
      <c r="K324" s="25" t="s">
        <v>572</v>
      </c>
    </row>
    <row r="325" spans="2:11" ht="18" customHeight="1" x14ac:dyDescent="0.15">
      <c r="B325" s="48"/>
      <c r="D325" s="26">
        <v>14755</v>
      </c>
      <c r="E325" s="9">
        <v>5010.28</v>
      </c>
      <c r="F325" s="10">
        <v>11</v>
      </c>
      <c r="G325" s="10">
        <v>2219</v>
      </c>
      <c r="H325" s="27">
        <v>40552.584722222222</v>
      </c>
      <c r="I325" s="27">
        <v>40877.474999999999</v>
      </c>
      <c r="J325" s="9">
        <v>455.48</v>
      </c>
      <c r="K325" s="28" t="s">
        <v>572</v>
      </c>
    </row>
    <row r="326" spans="2:11" ht="18" customHeight="1" x14ac:dyDescent="0.15">
      <c r="B326" s="48"/>
      <c r="D326" s="23">
        <v>12444</v>
      </c>
      <c r="E326" s="5">
        <v>5005.46</v>
      </c>
      <c r="F326" s="6">
        <v>5</v>
      </c>
      <c r="G326" s="6">
        <v>1153</v>
      </c>
      <c r="H326" s="24">
        <v>40715.583333333343</v>
      </c>
      <c r="I326" s="24">
        <v>40865.557638888888</v>
      </c>
      <c r="J326" s="5">
        <v>1001.092</v>
      </c>
      <c r="K326" s="25" t="s">
        <v>572</v>
      </c>
    </row>
    <row r="327" spans="2:11" ht="18" customHeight="1" x14ac:dyDescent="0.15">
      <c r="B327" s="48"/>
      <c r="D327" s="26">
        <v>15032</v>
      </c>
      <c r="E327" s="9">
        <v>4959.1000000000004</v>
      </c>
      <c r="F327" s="10">
        <v>3</v>
      </c>
      <c r="G327" s="10">
        <v>2968</v>
      </c>
      <c r="H327" s="27">
        <v>40520.539583333331</v>
      </c>
      <c r="I327" s="27">
        <v>40630.627083333333</v>
      </c>
      <c r="J327" s="9">
        <v>1653.033333333334</v>
      </c>
      <c r="K327" s="28" t="s">
        <v>572</v>
      </c>
    </row>
    <row r="328" spans="2:11" ht="18" customHeight="1" x14ac:dyDescent="0.15">
      <c r="B328" s="48"/>
      <c r="D328" s="23">
        <v>15547</v>
      </c>
      <c r="E328" s="5">
        <v>4954.84</v>
      </c>
      <c r="F328" s="6">
        <v>14</v>
      </c>
      <c r="G328" s="6">
        <v>4032</v>
      </c>
      <c r="H328" s="24">
        <v>40524.55972222222</v>
      </c>
      <c r="I328" s="24">
        <v>40879.536111111112</v>
      </c>
      <c r="J328" s="5">
        <v>353.91714285714289</v>
      </c>
      <c r="K328" s="25" t="s">
        <v>572</v>
      </c>
    </row>
    <row r="329" spans="2:11" ht="18" customHeight="1" x14ac:dyDescent="0.15">
      <c r="B329" s="48"/>
      <c r="D329" s="26">
        <v>12437</v>
      </c>
      <c r="E329" s="9">
        <v>4951.41</v>
      </c>
      <c r="F329" s="10">
        <v>18</v>
      </c>
      <c r="G329" s="10">
        <v>2922</v>
      </c>
      <c r="H329" s="27">
        <v>40555.592361111107</v>
      </c>
      <c r="I329" s="27">
        <v>40885.482638888891</v>
      </c>
      <c r="J329" s="9">
        <v>275.07833333333332</v>
      </c>
      <c r="K329" s="28" t="s">
        <v>572</v>
      </c>
    </row>
    <row r="330" spans="2:11" ht="18" customHeight="1" x14ac:dyDescent="0.15">
      <c r="B330" s="48"/>
      <c r="D330" s="23">
        <v>12700</v>
      </c>
      <c r="E330" s="5">
        <v>4939.99</v>
      </c>
      <c r="F330" s="6">
        <v>4</v>
      </c>
      <c r="G330" s="6">
        <v>2967</v>
      </c>
      <c r="H330" s="24">
        <v>40671.673611111109</v>
      </c>
      <c r="I330" s="24">
        <v>40879.449305555558</v>
      </c>
      <c r="J330" s="5">
        <v>1234.9974999999999</v>
      </c>
      <c r="K330" s="25" t="s">
        <v>572</v>
      </c>
    </row>
    <row r="331" spans="2:11" ht="18" customHeight="1" x14ac:dyDescent="0.15">
      <c r="B331" s="48"/>
      <c r="D331" s="26">
        <v>15786</v>
      </c>
      <c r="E331" s="9">
        <v>4932.2</v>
      </c>
      <c r="F331" s="10">
        <v>3</v>
      </c>
      <c r="G331" s="10">
        <v>3364</v>
      </c>
      <c r="H331" s="27">
        <v>40772.564583333333</v>
      </c>
      <c r="I331" s="27">
        <v>40840.592361111107</v>
      </c>
      <c r="J331" s="9">
        <v>1644.0666666666671</v>
      </c>
      <c r="K331" s="28" t="s">
        <v>572</v>
      </c>
    </row>
    <row r="332" spans="2:11" ht="18" customHeight="1" x14ac:dyDescent="0.15">
      <c r="B332" s="48"/>
      <c r="D332" s="23">
        <v>14709</v>
      </c>
      <c r="E332" s="5">
        <v>4921.04</v>
      </c>
      <c r="F332" s="6">
        <v>13</v>
      </c>
      <c r="G332" s="6">
        <v>2484</v>
      </c>
      <c r="H332" s="24">
        <v>40528.571527777778</v>
      </c>
      <c r="I332" s="24">
        <v>40871.65347222222</v>
      </c>
      <c r="J332" s="5">
        <v>378.54153846153838</v>
      </c>
      <c r="K332" s="25" t="s">
        <v>572</v>
      </c>
    </row>
    <row r="333" spans="2:11" ht="18" customHeight="1" x14ac:dyDescent="0.15">
      <c r="B333" s="48"/>
      <c r="D333" s="26">
        <v>17133</v>
      </c>
      <c r="E333" s="9">
        <v>4892.2400000000007</v>
      </c>
      <c r="F333" s="10">
        <v>7</v>
      </c>
      <c r="G333" s="10">
        <v>2730</v>
      </c>
      <c r="H333" s="27">
        <v>40620.574305555558</v>
      </c>
      <c r="I333" s="27">
        <v>40871.518750000003</v>
      </c>
      <c r="J333" s="9">
        <v>698.89142857142872</v>
      </c>
      <c r="K333" s="28" t="s">
        <v>572</v>
      </c>
    </row>
    <row r="334" spans="2:11" ht="18" customHeight="1" x14ac:dyDescent="0.15">
      <c r="B334" s="48"/>
      <c r="D334" s="23">
        <v>12664</v>
      </c>
      <c r="E334" s="5">
        <v>4881.88</v>
      </c>
      <c r="F334" s="6">
        <v>9</v>
      </c>
      <c r="G334" s="6">
        <v>1203</v>
      </c>
      <c r="H334" s="24">
        <v>40564.487500000003</v>
      </c>
      <c r="I334" s="24">
        <v>40878.713194444441</v>
      </c>
      <c r="J334" s="5">
        <v>542.43111111111114</v>
      </c>
      <c r="K334" s="25" t="s">
        <v>572</v>
      </c>
    </row>
    <row r="335" spans="2:11" ht="18" customHeight="1" x14ac:dyDescent="0.15">
      <c r="B335" s="48"/>
      <c r="D335" s="26">
        <v>12688</v>
      </c>
      <c r="E335" s="9">
        <v>4873.8099999999986</v>
      </c>
      <c r="F335" s="10">
        <v>1</v>
      </c>
      <c r="G335" s="10">
        <v>3028</v>
      </c>
      <c r="H335" s="27">
        <v>40773.367361111108</v>
      </c>
      <c r="I335" s="27">
        <v>40773.367361111108</v>
      </c>
      <c r="J335" s="9">
        <v>4873.8099999999986</v>
      </c>
      <c r="K335" s="28" t="s">
        <v>573</v>
      </c>
    </row>
    <row r="336" spans="2:11" ht="18" customHeight="1" x14ac:dyDescent="0.15">
      <c r="B336" s="48"/>
      <c r="D336" s="23">
        <v>14292</v>
      </c>
      <c r="E336" s="5">
        <v>4871.93</v>
      </c>
      <c r="F336" s="6">
        <v>9</v>
      </c>
      <c r="G336" s="6">
        <v>1663</v>
      </c>
      <c r="H336" s="24">
        <v>40604.351388888892</v>
      </c>
      <c r="I336" s="24">
        <v>40879.493055555547</v>
      </c>
      <c r="J336" s="5">
        <v>541.32555555555564</v>
      </c>
      <c r="K336" s="25" t="s">
        <v>572</v>
      </c>
    </row>
    <row r="337" spans="2:11" ht="18" customHeight="1" x14ac:dyDescent="0.15">
      <c r="B337" s="48"/>
      <c r="D337" s="26">
        <v>17652</v>
      </c>
      <c r="E337" s="9">
        <v>4867.72</v>
      </c>
      <c r="F337" s="10">
        <v>12</v>
      </c>
      <c r="G337" s="10">
        <v>2509</v>
      </c>
      <c r="H337" s="27">
        <v>40605.586805555547</v>
      </c>
      <c r="I337" s="27">
        <v>40861.538194444453</v>
      </c>
      <c r="J337" s="9">
        <v>405.64333333333337</v>
      </c>
      <c r="K337" s="28" t="s">
        <v>572</v>
      </c>
    </row>
    <row r="338" spans="2:11" ht="18" customHeight="1" x14ac:dyDescent="0.15">
      <c r="B338" s="48"/>
      <c r="D338" s="23">
        <v>15738</v>
      </c>
      <c r="E338" s="5">
        <v>4812.42</v>
      </c>
      <c r="F338" s="6">
        <v>16</v>
      </c>
      <c r="G338" s="6">
        <v>2982</v>
      </c>
      <c r="H338" s="24">
        <v>40514.534722222219</v>
      </c>
      <c r="I338" s="24">
        <v>40868.351388888892</v>
      </c>
      <c r="J338" s="5">
        <v>300.77625</v>
      </c>
      <c r="K338" s="25" t="s">
        <v>572</v>
      </c>
    </row>
    <row r="339" spans="2:11" ht="18" customHeight="1" x14ac:dyDescent="0.15">
      <c r="B339" s="48"/>
      <c r="D339" s="26">
        <v>13013</v>
      </c>
      <c r="E339" s="9">
        <v>4810.9400000000014</v>
      </c>
      <c r="F339" s="10">
        <v>13</v>
      </c>
      <c r="G339" s="10">
        <v>2224</v>
      </c>
      <c r="H339" s="27">
        <v>40515.519444444442</v>
      </c>
      <c r="I339" s="27">
        <v>40885.625694444447</v>
      </c>
      <c r="J339" s="9">
        <v>370.07230769230767</v>
      </c>
      <c r="K339" s="28" t="s">
        <v>572</v>
      </c>
    </row>
    <row r="340" spans="2:11" ht="18" customHeight="1" x14ac:dyDescent="0.15">
      <c r="B340" s="48"/>
      <c r="D340" s="23">
        <v>15555</v>
      </c>
      <c r="E340" s="5">
        <v>4805.17</v>
      </c>
      <c r="F340" s="6">
        <v>16</v>
      </c>
      <c r="G340" s="6">
        <v>4439</v>
      </c>
      <c r="H340" s="24">
        <v>40517.614583333343</v>
      </c>
      <c r="I340" s="24">
        <v>40874.679861111108</v>
      </c>
      <c r="J340" s="5">
        <v>300.323125</v>
      </c>
      <c r="K340" s="25" t="s">
        <v>572</v>
      </c>
    </row>
    <row r="341" spans="2:11" ht="18" customHeight="1" x14ac:dyDescent="0.15">
      <c r="B341" s="48"/>
      <c r="D341" s="26">
        <v>17365</v>
      </c>
      <c r="E341" s="9">
        <v>4801.5600000000004</v>
      </c>
      <c r="F341" s="10">
        <v>8</v>
      </c>
      <c r="G341" s="10">
        <v>4777</v>
      </c>
      <c r="H341" s="27">
        <v>40554.507638888892</v>
      </c>
      <c r="I341" s="27">
        <v>40874.509027777778</v>
      </c>
      <c r="J341" s="9">
        <v>600.19500000000005</v>
      </c>
      <c r="K341" s="28" t="s">
        <v>572</v>
      </c>
    </row>
    <row r="342" spans="2:11" ht="18" customHeight="1" x14ac:dyDescent="0.15">
      <c r="B342" s="48"/>
      <c r="D342" s="23">
        <v>15298</v>
      </c>
      <c r="E342" s="5">
        <v>4799.8999999999996</v>
      </c>
      <c r="F342" s="6">
        <v>12</v>
      </c>
      <c r="G342" s="6">
        <v>3116</v>
      </c>
      <c r="H342" s="24">
        <v>40520.579861111109</v>
      </c>
      <c r="I342" s="24">
        <v>40884.720138888893</v>
      </c>
      <c r="J342" s="5">
        <v>399.99166666666662</v>
      </c>
      <c r="K342" s="25" t="s">
        <v>572</v>
      </c>
    </row>
    <row r="343" spans="2:11" ht="18" customHeight="1" x14ac:dyDescent="0.15">
      <c r="B343" s="48"/>
      <c r="D343" s="26">
        <v>15187</v>
      </c>
      <c r="E343" s="9">
        <v>4777.18</v>
      </c>
      <c r="F343" s="10">
        <v>16</v>
      </c>
      <c r="G343" s="10">
        <v>1887</v>
      </c>
      <c r="H343" s="27">
        <v>40674.575694444437</v>
      </c>
      <c r="I343" s="27">
        <v>40885.49722222222</v>
      </c>
      <c r="J343" s="9">
        <v>298.57375000000002</v>
      </c>
      <c r="K343" s="28" t="s">
        <v>572</v>
      </c>
    </row>
    <row r="344" spans="2:11" ht="18" customHeight="1" x14ac:dyDescent="0.15">
      <c r="B344" s="48"/>
      <c r="D344" s="23">
        <v>17690</v>
      </c>
      <c r="E344" s="5">
        <v>4757.95</v>
      </c>
      <c r="F344" s="6">
        <v>15</v>
      </c>
      <c r="G344" s="6">
        <v>1773</v>
      </c>
      <c r="H344" s="24">
        <v>40513.677083333343</v>
      </c>
      <c r="I344" s="24">
        <v>40856.636805555558</v>
      </c>
      <c r="J344" s="5">
        <v>317.19666666666672</v>
      </c>
      <c r="K344" s="25" t="s">
        <v>572</v>
      </c>
    </row>
    <row r="345" spans="2:11" ht="18" customHeight="1" x14ac:dyDescent="0.15">
      <c r="B345" s="48"/>
      <c r="D345" s="26">
        <v>12955</v>
      </c>
      <c r="E345" s="9">
        <v>4757.16</v>
      </c>
      <c r="F345" s="10">
        <v>11</v>
      </c>
      <c r="G345" s="10">
        <v>3664</v>
      </c>
      <c r="H345" s="27">
        <v>40619.377083333333</v>
      </c>
      <c r="I345" s="27">
        <v>40885.686805555553</v>
      </c>
      <c r="J345" s="9">
        <v>432.46909090909088</v>
      </c>
      <c r="K345" s="28" t="s">
        <v>572</v>
      </c>
    </row>
    <row r="346" spans="2:11" ht="18" customHeight="1" x14ac:dyDescent="0.15">
      <c r="B346" s="48"/>
      <c r="D346" s="23">
        <v>14180</v>
      </c>
      <c r="E346" s="5">
        <v>4748.5200000000004</v>
      </c>
      <c r="F346" s="6">
        <v>25</v>
      </c>
      <c r="G346" s="6">
        <v>719</v>
      </c>
      <c r="H346" s="24">
        <v>40514.547222222223</v>
      </c>
      <c r="I346" s="24">
        <v>40876.455555555563</v>
      </c>
      <c r="J346" s="5">
        <v>189.9408</v>
      </c>
      <c r="K346" s="25" t="s">
        <v>572</v>
      </c>
    </row>
    <row r="347" spans="2:11" ht="18" customHeight="1" x14ac:dyDescent="0.15">
      <c r="B347" s="48"/>
      <c r="D347" s="26">
        <v>15152</v>
      </c>
      <c r="E347" s="9">
        <v>4745.6899999999996</v>
      </c>
      <c r="F347" s="10">
        <v>13</v>
      </c>
      <c r="G347" s="10">
        <v>2704</v>
      </c>
      <c r="H347" s="27">
        <v>40699.65</v>
      </c>
      <c r="I347" s="27">
        <v>40877.522222222222</v>
      </c>
      <c r="J347" s="9">
        <v>365.0530769230769</v>
      </c>
      <c r="K347" s="28" t="s">
        <v>572</v>
      </c>
    </row>
    <row r="348" spans="2:11" ht="18" customHeight="1" x14ac:dyDescent="0.15">
      <c r="B348" s="48"/>
      <c r="D348" s="23">
        <v>16722</v>
      </c>
      <c r="E348" s="5">
        <v>4730.8100000000004</v>
      </c>
      <c r="F348" s="6">
        <v>13</v>
      </c>
      <c r="G348" s="6">
        <v>5001</v>
      </c>
      <c r="H348" s="24">
        <v>40518.540972222218</v>
      </c>
      <c r="I348" s="24">
        <v>40869.561111111107</v>
      </c>
      <c r="J348" s="5">
        <v>363.90846153846161</v>
      </c>
      <c r="K348" s="25" t="s">
        <v>572</v>
      </c>
    </row>
    <row r="349" spans="2:11" ht="18" customHeight="1" x14ac:dyDescent="0.15">
      <c r="B349" s="48"/>
      <c r="D349" s="26">
        <v>12714</v>
      </c>
      <c r="E349" s="9">
        <v>4708.8599999999997</v>
      </c>
      <c r="F349" s="10">
        <v>5</v>
      </c>
      <c r="G349" s="10">
        <v>3069</v>
      </c>
      <c r="H349" s="27">
        <v>40592.453472222223</v>
      </c>
      <c r="I349" s="27">
        <v>40877.654861111107</v>
      </c>
      <c r="J349" s="9">
        <v>941.77199999999993</v>
      </c>
      <c r="K349" s="28" t="s">
        <v>572</v>
      </c>
    </row>
    <row r="350" spans="2:11" ht="18" customHeight="1" x14ac:dyDescent="0.15">
      <c r="B350" s="48"/>
      <c r="D350" s="23">
        <v>14159</v>
      </c>
      <c r="E350" s="5">
        <v>4693.01</v>
      </c>
      <c r="F350" s="6">
        <v>11</v>
      </c>
      <c r="G350" s="6">
        <v>4408</v>
      </c>
      <c r="H350" s="24">
        <v>40524.470138888893</v>
      </c>
      <c r="I350" s="24">
        <v>40867.525000000001</v>
      </c>
      <c r="J350" s="5">
        <v>426.63727272727277</v>
      </c>
      <c r="K350" s="25" t="s">
        <v>572</v>
      </c>
    </row>
    <row r="351" spans="2:11" ht="18" customHeight="1" x14ac:dyDescent="0.15">
      <c r="B351" s="48"/>
      <c r="D351" s="26">
        <v>14135</v>
      </c>
      <c r="E351" s="9">
        <v>4690.3100000000004</v>
      </c>
      <c r="F351" s="10">
        <v>15</v>
      </c>
      <c r="G351" s="10">
        <v>3850</v>
      </c>
      <c r="H351" s="27">
        <v>40514.435416666667</v>
      </c>
      <c r="I351" s="27">
        <v>40885.484722222223</v>
      </c>
      <c r="J351" s="9">
        <v>312.68733333333341</v>
      </c>
      <c r="K351" s="28" t="s">
        <v>572</v>
      </c>
    </row>
    <row r="352" spans="2:11" ht="18" customHeight="1" x14ac:dyDescent="0.15">
      <c r="B352" s="48"/>
      <c r="D352" s="23">
        <v>14191</v>
      </c>
      <c r="E352" s="5">
        <v>4684.76</v>
      </c>
      <c r="F352" s="6">
        <v>13</v>
      </c>
      <c r="G352" s="6">
        <v>3662</v>
      </c>
      <c r="H352" s="24">
        <v>40666.4375</v>
      </c>
      <c r="I352" s="24">
        <v>40885.390972222223</v>
      </c>
      <c r="J352" s="5">
        <v>360.36615384615379</v>
      </c>
      <c r="K352" s="25" t="s">
        <v>572</v>
      </c>
    </row>
    <row r="353" spans="2:11" ht="18" customHeight="1" x14ac:dyDescent="0.15">
      <c r="B353" s="48"/>
      <c r="D353" s="26">
        <v>15291</v>
      </c>
      <c r="E353" s="9">
        <v>4668.3</v>
      </c>
      <c r="F353" s="10">
        <v>15</v>
      </c>
      <c r="G353" s="10">
        <v>2103</v>
      </c>
      <c r="H353" s="27">
        <v>40513.397222222222</v>
      </c>
      <c r="I353" s="27">
        <v>40861.459722222222</v>
      </c>
      <c r="J353" s="9">
        <v>311.22000000000003</v>
      </c>
      <c r="K353" s="28" t="s">
        <v>572</v>
      </c>
    </row>
    <row r="354" spans="2:11" ht="18" customHeight="1" x14ac:dyDescent="0.15">
      <c r="B354" s="48"/>
      <c r="D354" s="23">
        <v>14189</v>
      </c>
      <c r="E354" s="5">
        <v>4654.08</v>
      </c>
      <c r="F354" s="6">
        <v>15</v>
      </c>
      <c r="G354" s="6">
        <v>3937</v>
      </c>
      <c r="H354" s="24">
        <v>40518.487500000003</v>
      </c>
      <c r="I354" s="24">
        <v>40884.663194444453</v>
      </c>
      <c r="J354" s="5">
        <v>310.27199999999999</v>
      </c>
      <c r="K354" s="25" t="s">
        <v>572</v>
      </c>
    </row>
    <row r="355" spans="2:11" ht="18" customHeight="1" x14ac:dyDescent="0.15">
      <c r="B355" s="48"/>
      <c r="D355" s="26">
        <v>14390</v>
      </c>
      <c r="E355" s="9">
        <v>4652.82</v>
      </c>
      <c r="F355" s="10">
        <v>9</v>
      </c>
      <c r="G355" s="10">
        <v>2136</v>
      </c>
      <c r="H355" s="27">
        <v>40514.497916666667</v>
      </c>
      <c r="I355" s="27">
        <v>40876.575694444437</v>
      </c>
      <c r="J355" s="9">
        <v>516.98</v>
      </c>
      <c r="K355" s="28" t="s">
        <v>572</v>
      </c>
    </row>
    <row r="356" spans="2:11" ht="18" customHeight="1" x14ac:dyDescent="0.15">
      <c r="B356" s="48"/>
      <c r="D356" s="23">
        <v>14286</v>
      </c>
      <c r="E356" s="5">
        <v>4628.75</v>
      </c>
      <c r="F356" s="6">
        <v>3</v>
      </c>
      <c r="G356" s="6">
        <v>4338</v>
      </c>
      <c r="H356" s="24">
        <v>40644.344444444447</v>
      </c>
      <c r="I356" s="24">
        <v>40863.44027777778</v>
      </c>
      <c r="J356" s="5">
        <v>1542.916666666667</v>
      </c>
      <c r="K356" s="25" t="s">
        <v>572</v>
      </c>
    </row>
    <row r="357" spans="2:11" ht="18" customHeight="1" x14ac:dyDescent="0.15">
      <c r="B357" s="48"/>
      <c r="D357" s="26">
        <v>16931</v>
      </c>
      <c r="E357" s="9">
        <v>4604.22</v>
      </c>
      <c r="F357" s="10">
        <v>21</v>
      </c>
      <c r="G357" s="10">
        <v>3158</v>
      </c>
      <c r="H357" s="27">
        <v>40517.486111111109</v>
      </c>
      <c r="I357" s="27">
        <v>40881.552083333343</v>
      </c>
      <c r="J357" s="9">
        <v>219.24857142857141</v>
      </c>
      <c r="K357" s="28" t="s">
        <v>572</v>
      </c>
    </row>
    <row r="358" spans="2:11" ht="18" customHeight="1" x14ac:dyDescent="0.15">
      <c r="B358" s="48"/>
      <c r="D358" s="23">
        <v>13802</v>
      </c>
      <c r="E358" s="5">
        <v>4599.42</v>
      </c>
      <c r="F358" s="6">
        <v>3</v>
      </c>
      <c r="G358" s="6">
        <v>2572</v>
      </c>
      <c r="H358" s="24">
        <v>40575.502083333333</v>
      </c>
      <c r="I358" s="24">
        <v>40748.45416666667</v>
      </c>
      <c r="J358" s="5">
        <v>1533.14</v>
      </c>
      <c r="K358" s="25" t="s">
        <v>572</v>
      </c>
    </row>
    <row r="359" spans="2:11" ht="18" customHeight="1" x14ac:dyDescent="0.15">
      <c r="B359" s="48"/>
      <c r="D359" s="26">
        <v>15093</v>
      </c>
      <c r="E359" s="9">
        <v>4597.0200000000004</v>
      </c>
      <c r="F359" s="10">
        <v>6</v>
      </c>
      <c r="G359" s="10">
        <v>3760</v>
      </c>
      <c r="H359" s="27">
        <v>40514.767361111109</v>
      </c>
      <c r="I359" s="27">
        <v>40868.54791666667</v>
      </c>
      <c r="J359" s="9">
        <v>766.17000000000007</v>
      </c>
      <c r="K359" s="28" t="s">
        <v>572</v>
      </c>
    </row>
    <row r="360" spans="2:11" ht="18" customHeight="1" x14ac:dyDescent="0.15">
      <c r="B360" s="48"/>
      <c r="D360" s="23">
        <v>14004</v>
      </c>
      <c r="E360" s="5">
        <v>4582.6400000000003</v>
      </c>
      <c r="F360" s="6">
        <v>7</v>
      </c>
      <c r="G360" s="6">
        <v>2668</v>
      </c>
      <c r="H360" s="24">
        <v>40598.394444444442</v>
      </c>
      <c r="I360" s="24">
        <v>40843.611111111109</v>
      </c>
      <c r="J360" s="5">
        <v>654.66285714285721</v>
      </c>
      <c r="K360" s="25" t="s">
        <v>572</v>
      </c>
    </row>
    <row r="361" spans="2:11" ht="18" customHeight="1" x14ac:dyDescent="0.15">
      <c r="B361" s="48"/>
      <c r="D361" s="26">
        <v>17613</v>
      </c>
      <c r="E361" s="9">
        <v>4559.1500000000005</v>
      </c>
      <c r="F361" s="10">
        <v>14</v>
      </c>
      <c r="G361" s="10">
        <v>2496</v>
      </c>
      <c r="H361" s="27">
        <v>40581.472222222219</v>
      </c>
      <c r="I361" s="27">
        <v>40864.45208333333</v>
      </c>
      <c r="J361" s="9">
        <v>325.65357142857152</v>
      </c>
      <c r="K361" s="28" t="s">
        <v>572</v>
      </c>
    </row>
    <row r="362" spans="2:11" ht="18" customHeight="1" x14ac:dyDescent="0.15">
      <c r="B362" s="48"/>
      <c r="D362" s="23">
        <v>17068</v>
      </c>
      <c r="E362" s="5">
        <v>4552.1400000000003</v>
      </c>
      <c r="F362" s="6">
        <v>21</v>
      </c>
      <c r="G362" s="6">
        <v>2164</v>
      </c>
      <c r="H362" s="24">
        <v>40518.581944444442</v>
      </c>
      <c r="I362" s="24">
        <v>40874.551388888889</v>
      </c>
      <c r="J362" s="5">
        <v>216.76857142857139</v>
      </c>
      <c r="K362" s="25" t="s">
        <v>572</v>
      </c>
    </row>
    <row r="363" spans="2:11" ht="18" customHeight="1" x14ac:dyDescent="0.15">
      <c r="B363" s="48"/>
      <c r="D363" s="26">
        <v>12484</v>
      </c>
      <c r="E363" s="9">
        <v>4541.72</v>
      </c>
      <c r="F363" s="10">
        <v>6</v>
      </c>
      <c r="G363" s="10">
        <v>2191</v>
      </c>
      <c r="H363" s="27">
        <v>40550.586111111108</v>
      </c>
      <c r="I363" s="27">
        <v>40854.484027777777</v>
      </c>
      <c r="J363" s="9">
        <v>756.95333333333338</v>
      </c>
      <c r="K363" s="28" t="s">
        <v>572</v>
      </c>
    </row>
    <row r="364" spans="2:11" ht="18" customHeight="1" x14ac:dyDescent="0.15">
      <c r="B364" s="48"/>
      <c r="D364" s="23">
        <v>13267</v>
      </c>
      <c r="E364" s="5">
        <v>4521.49</v>
      </c>
      <c r="F364" s="6">
        <v>19</v>
      </c>
      <c r="G364" s="6">
        <v>1969</v>
      </c>
      <c r="H364" s="24">
        <v>40520.388888888891</v>
      </c>
      <c r="I364" s="24">
        <v>40884.466666666667</v>
      </c>
      <c r="J364" s="5">
        <v>237.9731578947368</v>
      </c>
      <c r="K364" s="25" t="s">
        <v>572</v>
      </c>
    </row>
    <row r="365" spans="2:11" ht="18" customHeight="1" x14ac:dyDescent="0.15">
      <c r="B365" s="48"/>
      <c r="D365" s="26">
        <v>15299</v>
      </c>
      <c r="E365" s="9">
        <v>4507.01</v>
      </c>
      <c r="F365" s="10">
        <v>7</v>
      </c>
      <c r="G365" s="10">
        <v>2948</v>
      </c>
      <c r="H365" s="27">
        <v>40514.699999999997</v>
      </c>
      <c r="I365" s="27">
        <v>40819.59652777778</v>
      </c>
      <c r="J365" s="9">
        <v>643.85857142857151</v>
      </c>
      <c r="K365" s="28" t="s">
        <v>572</v>
      </c>
    </row>
    <row r="366" spans="2:11" ht="18" customHeight="1" x14ac:dyDescent="0.15">
      <c r="B366" s="48"/>
      <c r="D366" s="23">
        <v>17975</v>
      </c>
      <c r="E366" s="5">
        <v>4488.8100000000004</v>
      </c>
      <c r="F366" s="6">
        <v>13</v>
      </c>
      <c r="G366" s="6">
        <v>1568</v>
      </c>
      <c r="H366" s="24">
        <v>40520.484722222223</v>
      </c>
      <c r="I366" s="24">
        <v>40871.560416666667</v>
      </c>
      <c r="J366" s="5">
        <v>345.29307692307702</v>
      </c>
      <c r="K366" s="25" t="s">
        <v>572</v>
      </c>
    </row>
    <row r="367" spans="2:11" ht="18" customHeight="1" x14ac:dyDescent="0.15">
      <c r="B367" s="48"/>
      <c r="D367" s="26">
        <v>12524</v>
      </c>
      <c r="E367" s="9">
        <v>4485.72</v>
      </c>
      <c r="F367" s="10">
        <v>8</v>
      </c>
      <c r="G367" s="10">
        <v>3699</v>
      </c>
      <c r="H367" s="27">
        <v>40553.440972222219</v>
      </c>
      <c r="I367" s="27">
        <v>40877.646527777782</v>
      </c>
      <c r="J367" s="9">
        <v>560.71500000000003</v>
      </c>
      <c r="K367" s="28" t="s">
        <v>572</v>
      </c>
    </row>
    <row r="368" spans="2:11" ht="18" customHeight="1" x14ac:dyDescent="0.15">
      <c r="B368" s="48"/>
      <c r="D368" s="23">
        <v>14426</v>
      </c>
      <c r="E368" s="5">
        <v>4481.67</v>
      </c>
      <c r="F368" s="6">
        <v>10</v>
      </c>
      <c r="G368" s="6">
        <v>2699</v>
      </c>
      <c r="H368" s="24">
        <v>40574.410416666673</v>
      </c>
      <c r="I368" s="24">
        <v>40863.517361111109</v>
      </c>
      <c r="J368" s="5">
        <v>448.16699999999997</v>
      </c>
      <c r="K368" s="25" t="s">
        <v>572</v>
      </c>
    </row>
    <row r="369" spans="2:11" ht="18" customHeight="1" x14ac:dyDescent="0.15">
      <c r="B369" s="48"/>
      <c r="D369" s="26">
        <v>16984</v>
      </c>
      <c r="E369" s="9">
        <v>4481.3500000000004</v>
      </c>
      <c r="F369" s="10">
        <v>2</v>
      </c>
      <c r="G369" s="10">
        <v>2423</v>
      </c>
      <c r="H369" s="27">
        <v>40756.734027777777</v>
      </c>
      <c r="I369" s="27">
        <v>40798.571527777778</v>
      </c>
      <c r="J369" s="9">
        <v>2240.6750000000002</v>
      </c>
      <c r="K369" s="28" t="s">
        <v>572</v>
      </c>
    </row>
    <row r="370" spans="2:11" ht="18" customHeight="1" x14ac:dyDescent="0.15">
      <c r="B370" s="48"/>
      <c r="D370" s="23">
        <v>17364</v>
      </c>
      <c r="E370" s="5">
        <v>4481.18</v>
      </c>
      <c r="F370" s="6">
        <v>11</v>
      </c>
      <c r="G370" s="6">
        <v>2701</v>
      </c>
      <c r="H370" s="24">
        <v>40555.706250000003</v>
      </c>
      <c r="I370" s="24">
        <v>40886.375</v>
      </c>
      <c r="J370" s="5">
        <v>407.38000000000011</v>
      </c>
      <c r="K370" s="25" t="s">
        <v>572</v>
      </c>
    </row>
    <row r="371" spans="2:11" ht="18" customHeight="1" x14ac:dyDescent="0.15">
      <c r="B371" s="48"/>
      <c r="D371" s="26">
        <v>12627</v>
      </c>
      <c r="E371" s="9">
        <v>4478.53</v>
      </c>
      <c r="F371" s="10">
        <v>7</v>
      </c>
      <c r="G371" s="10">
        <v>2752</v>
      </c>
      <c r="H371" s="27">
        <v>40746.582638888889</v>
      </c>
      <c r="I371" s="27">
        <v>40876.504861111112</v>
      </c>
      <c r="J371" s="9">
        <v>639.79</v>
      </c>
      <c r="K371" s="28" t="s">
        <v>572</v>
      </c>
    </row>
    <row r="372" spans="2:11" ht="18" customHeight="1" x14ac:dyDescent="0.15">
      <c r="B372" s="48"/>
      <c r="D372" s="23">
        <v>14085</v>
      </c>
      <c r="E372" s="5">
        <v>4448.54</v>
      </c>
      <c r="F372" s="6">
        <v>18</v>
      </c>
      <c r="G372" s="6">
        <v>3184</v>
      </c>
      <c r="H372" s="24">
        <v>40518.527083333327</v>
      </c>
      <c r="I372" s="24">
        <v>40884.573611111111</v>
      </c>
      <c r="J372" s="5">
        <v>247.14111111111109</v>
      </c>
      <c r="K372" s="25" t="s">
        <v>572</v>
      </c>
    </row>
    <row r="373" spans="2:11" ht="18" customHeight="1" x14ac:dyDescent="0.15">
      <c r="B373" s="48"/>
      <c r="D373" s="26">
        <v>14534</v>
      </c>
      <c r="E373" s="9">
        <v>4447.05</v>
      </c>
      <c r="F373" s="10">
        <v>18</v>
      </c>
      <c r="G373" s="10">
        <v>2047</v>
      </c>
      <c r="H373" s="27">
        <v>40568.522916666669</v>
      </c>
      <c r="I373" s="27">
        <v>40884.513194444437</v>
      </c>
      <c r="J373" s="9">
        <v>247.05833333333331</v>
      </c>
      <c r="K373" s="28" t="s">
        <v>572</v>
      </c>
    </row>
    <row r="374" spans="2:11" ht="18" customHeight="1" x14ac:dyDescent="0.15">
      <c r="B374" s="48"/>
      <c r="D374" s="23">
        <v>13069</v>
      </c>
      <c r="E374" s="5">
        <v>4436.12</v>
      </c>
      <c r="F374" s="6">
        <v>24</v>
      </c>
      <c r="G374" s="6">
        <v>5885</v>
      </c>
      <c r="H374" s="24">
        <v>40517.459722222222</v>
      </c>
      <c r="I374" s="24">
        <v>40886.36041666667</v>
      </c>
      <c r="J374" s="5">
        <v>184.83833333333331</v>
      </c>
      <c r="K374" s="25" t="s">
        <v>572</v>
      </c>
    </row>
    <row r="375" spans="2:11" ht="18" customHeight="1" x14ac:dyDescent="0.15">
      <c r="B375" s="48"/>
      <c r="D375" s="26">
        <v>15955</v>
      </c>
      <c r="E375" s="9">
        <v>4416.26</v>
      </c>
      <c r="F375" s="10">
        <v>14</v>
      </c>
      <c r="G375" s="10">
        <v>2135</v>
      </c>
      <c r="H375" s="27">
        <v>40514.473611111112</v>
      </c>
      <c r="I375" s="27">
        <v>40862.59375</v>
      </c>
      <c r="J375" s="9">
        <v>315.44714285714292</v>
      </c>
      <c r="K375" s="28" t="s">
        <v>572</v>
      </c>
    </row>
    <row r="376" spans="2:11" ht="18" customHeight="1" x14ac:dyDescent="0.15">
      <c r="B376" s="48"/>
      <c r="D376" s="23">
        <v>16626</v>
      </c>
      <c r="E376" s="5">
        <v>4413.1000000000004</v>
      </c>
      <c r="F376" s="6">
        <v>17</v>
      </c>
      <c r="G376" s="6">
        <v>2690</v>
      </c>
      <c r="H376" s="24">
        <v>40620.518750000003</v>
      </c>
      <c r="I376" s="24">
        <v>40886.49722222222</v>
      </c>
      <c r="J376" s="5">
        <v>259.59411764705891</v>
      </c>
      <c r="K376" s="25" t="s">
        <v>572</v>
      </c>
    </row>
    <row r="377" spans="2:11" ht="18" customHeight="1" x14ac:dyDescent="0.15">
      <c r="B377" s="48"/>
      <c r="D377" s="26">
        <v>15874</v>
      </c>
      <c r="E377" s="9">
        <v>4405.88</v>
      </c>
      <c r="F377" s="10">
        <v>7</v>
      </c>
      <c r="G377" s="10">
        <v>2534</v>
      </c>
      <c r="H377" s="27">
        <v>40602.561111111107</v>
      </c>
      <c r="I377" s="27">
        <v>40823.521527777782</v>
      </c>
      <c r="J377" s="9">
        <v>629.41142857142859</v>
      </c>
      <c r="K377" s="28" t="s">
        <v>572</v>
      </c>
    </row>
    <row r="378" spans="2:11" ht="18" customHeight="1" x14ac:dyDescent="0.15">
      <c r="B378" s="48"/>
      <c r="D378" s="23">
        <v>12712</v>
      </c>
      <c r="E378" s="5">
        <v>4396.13</v>
      </c>
      <c r="F378" s="6">
        <v>13</v>
      </c>
      <c r="G378" s="6">
        <v>1062</v>
      </c>
      <c r="H378" s="24">
        <v>40515.604166666657</v>
      </c>
      <c r="I378" s="24">
        <v>40858.34652777778</v>
      </c>
      <c r="J378" s="5">
        <v>338.16384615384618</v>
      </c>
      <c r="K378" s="25" t="s">
        <v>572</v>
      </c>
    </row>
    <row r="379" spans="2:11" ht="18" customHeight="1" x14ac:dyDescent="0.15">
      <c r="B379" s="48"/>
      <c r="D379" s="26">
        <v>13505</v>
      </c>
      <c r="E379" s="9">
        <v>4393.63</v>
      </c>
      <c r="F379" s="10">
        <v>4</v>
      </c>
      <c r="G379" s="10">
        <v>2486</v>
      </c>
      <c r="H379" s="27">
        <v>40654.504861111112</v>
      </c>
      <c r="I379" s="27">
        <v>40814.49722222222</v>
      </c>
      <c r="J379" s="9">
        <v>1098.4075</v>
      </c>
      <c r="K379" s="28" t="s">
        <v>572</v>
      </c>
    </row>
    <row r="380" spans="2:11" ht="18" customHeight="1" x14ac:dyDescent="0.15">
      <c r="B380" s="48"/>
      <c r="D380" s="23">
        <v>12752</v>
      </c>
      <c r="E380" s="5">
        <v>4366.78</v>
      </c>
      <c r="F380" s="6">
        <v>1</v>
      </c>
      <c r="G380" s="6">
        <v>2262</v>
      </c>
      <c r="H380" s="24">
        <v>40805.563888888893</v>
      </c>
      <c r="I380" s="24">
        <v>40805.563888888893</v>
      </c>
      <c r="J380" s="5">
        <v>4366.78</v>
      </c>
      <c r="K380" s="25" t="s">
        <v>573</v>
      </c>
    </row>
    <row r="381" spans="2:11" ht="18" customHeight="1" x14ac:dyDescent="0.15">
      <c r="B381" s="48"/>
      <c r="D381" s="26">
        <v>16945</v>
      </c>
      <c r="E381" s="9">
        <v>4345.5</v>
      </c>
      <c r="F381" s="10">
        <v>19</v>
      </c>
      <c r="G381" s="10">
        <v>2725</v>
      </c>
      <c r="H381" s="27">
        <v>40528.742361111108</v>
      </c>
      <c r="I381" s="27">
        <v>40865.48541666667</v>
      </c>
      <c r="J381" s="9">
        <v>228.71052631578951</v>
      </c>
      <c r="K381" s="28" t="s">
        <v>572</v>
      </c>
    </row>
    <row r="382" spans="2:11" ht="18" customHeight="1" x14ac:dyDescent="0.15">
      <c r="B382" s="48"/>
      <c r="D382" s="23">
        <v>14016</v>
      </c>
      <c r="E382" s="5">
        <v>4341.21</v>
      </c>
      <c r="F382" s="6">
        <v>4</v>
      </c>
      <c r="G382" s="6">
        <v>2125</v>
      </c>
      <c r="H382" s="24">
        <v>40529.597916666673</v>
      </c>
      <c r="I382" s="24">
        <v>40725.478472222218</v>
      </c>
      <c r="J382" s="5">
        <v>1085.3025</v>
      </c>
      <c r="K382" s="25" t="s">
        <v>572</v>
      </c>
    </row>
    <row r="383" spans="2:11" ht="18" customHeight="1" x14ac:dyDescent="0.15">
      <c r="B383" s="48"/>
      <c r="D383" s="26">
        <v>14800</v>
      </c>
      <c r="E383" s="9">
        <v>4339.74</v>
      </c>
      <c r="F383" s="10">
        <v>12</v>
      </c>
      <c r="G383" s="10">
        <v>3655</v>
      </c>
      <c r="H383" s="27">
        <v>40517.465277777781</v>
      </c>
      <c r="I383" s="27">
        <v>40839.531944444447</v>
      </c>
      <c r="J383" s="9">
        <v>361.64499999999998</v>
      </c>
      <c r="K383" s="28" t="s">
        <v>572</v>
      </c>
    </row>
    <row r="384" spans="2:11" ht="18" customHeight="1" x14ac:dyDescent="0.15">
      <c r="B384" s="48"/>
      <c r="D384" s="23">
        <v>14525</v>
      </c>
      <c r="E384" s="5">
        <v>4332.2</v>
      </c>
      <c r="F384" s="6">
        <v>9</v>
      </c>
      <c r="G384" s="6">
        <v>2696</v>
      </c>
      <c r="H384" s="24">
        <v>40525.736111111109</v>
      </c>
      <c r="I384" s="24">
        <v>40867.484027777777</v>
      </c>
      <c r="J384" s="5">
        <v>481.35555555555561</v>
      </c>
      <c r="K384" s="25" t="s">
        <v>572</v>
      </c>
    </row>
    <row r="385" spans="2:11" ht="18" customHeight="1" x14ac:dyDescent="0.15">
      <c r="B385" s="48"/>
      <c r="D385" s="26">
        <v>17567</v>
      </c>
      <c r="E385" s="9">
        <v>4331.4799999999996</v>
      </c>
      <c r="F385" s="10">
        <v>8</v>
      </c>
      <c r="G385" s="10">
        <v>2632</v>
      </c>
      <c r="H385" s="27">
        <v>40514.637499999997</v>
      </c>
      <c r="I385" s="27">
        <v>40879.658333333333</v>
      </c>
      <c r="J385" s="9">
        <v>541.43499999999995</v>
      </c>
      <c r="K385" s="28" t="s">
        <v>572</v>
      </c>
    </row>
    <row r="386" spans="2:11" ht="18" customHeight="1" x14ac:dyDescent="0.15">
      <c r="B386" s="48"/>
      <c r="D386" s="23">
        <v>18251</v>
      </c>
      <c r="E386" s="5">
        <v>4314.72</v>
      </c>
      <c r="F386" s="6">
        <v>1</v>
      </c>
      <c r="G386" s="6">
        <v>7824</v>
      </c>
      <c r="H386" s="24">
        <v>40799.627083333333</v>
      </c>
      <c r="I386" s="24">
        <v>40799.627083333333</v>
      </c>
      <c r="J386" s="5">
        <v>4314.72</v>
      </c>
      <c r="K386" s="25" t="s">
        <v>573</v>
      </c>
    </row>
    <row r="387" spans="2:11" ht="18" customHeight="1" x14ac:dyDescent="0.15">
      <c r="B387" s="48"/>
      <c r="D387" s="26">
        <v>12347</v>
      </c>
      <c r="E387" s="9">
        <v>4310</v>
      </c>
      <c r="F387" s="10">
        <v>7</v>
      </c>
      <c r="G387" s="10">
        <v>2458</v>
      </c>
      <c r="H387" s="27">
        <v>40519.622916666667</v>
      </c>
      <c r="I387" s="27">
        <v>40884.661111111112</v>
      </c>
      <c r="J387" s="9">
        <v>615.71428571428567</v>
      </c>
      <c r="K387" s="28" t="s">
        <v>572</v>
      </c>
    </row>
    <row r="388" spans="2:11" ht="18" customHeight="1" x14ac:dyDescent="0.15">
      <c r="B388" s="48"/>
      <c r="D388" s="23">
        <v>15034</v>
      </c>
      <c r="E388" s="5">
        <v>4308.6099999999997</v>
      </c>
      <c r="F388" s="6">
        <v>8</v>
      </c>
      <c r="G388" s="6">
        <v>2422</v>
      </c>
      <c r="H388" s="24">
        <v>40533.407638888893</v>
      </c>
      <c r="I388" s="24">
        <v>40871.507638888892</v>
      </c>
      <c r="J388" s="5">
        <v>538.57624999999996</v>
      </c>
      <c r="K388" s="25" t="s">
        <v>572</v>
      </c>
    </row>
    <row r="389" spans="2:11" ht="18" customHeight="1" x14ac:dyDescent="0.15">
      <c r="B389" s="48"/>
      <c r="D389" s="26">
        <v>17937</v>
      </c>
      <c r="E389" s="9">
        <v>4301.22</v>
      </c>
      <c r="F389" s="10">
        <v>7</v>
      </c>
      <c r="G389" s="10">
        <v>1754</v>
      </c>
      <c r="H389" s="27">
        <v>40524.613194444442</v>
      </c>
      <c r="I389" s="27">
        <v>40878.489583333343</v>
      </c>
      <c r="J389" s="9">
        <v>614.46</v>
      </c>
      <c r="K389" s="28" t="s">
        <v>572</v>
      </c>
    </row>
    <row r="390" spans="2:11" ht="18" customHeight="1" x14ac:dyDescent="0.15">
      <c r="B390" s="48"/>
      <c r="D390" s="23">
        <v>14422</v>
      </c>
      <c r="E390" s="5">
        <v>4263.6400000000003</v>
      </c>
      <c r="F390" s="6">
        <v>6</v>
      </c>
      <c r="G390" s="6">
        <v>2906</v>
      </c>
      <c r="H390" s="24">
        <v>40619.726388888892</v>
      </c>
      <c r="I390" s="24">
        <v>40886.476388888892</v>
      </c>
      <c r="J390" s="5">
        <v>710.60666666666668</v>
      </c>
      <c r="K390" s="25" t="s">
        <v>572</v>
      </c>
    </row>
    <row r="391" spans="2:11" ht="18" customHeight="1" x14ac:dyDescent="0.15">
      <c r="B391" s="48"/>
      <c r="D391" s="26">
        <v>12500</v>
      </c>
      <c r="E391" s="9">
        <v>4257.82</v>
      </c>
      <c r="F391" s="10">
        <v>11</v>
      </c>
      <c r="G391" s="10">
        <v>2678</v>
      </c>
      <c r="H391" s="27">
        <v>40553.408333333333</v>
      </c>
      <c r="I391" s="27">
        <v>40863.680555555547</v>
      </c>
      <c r="J391" s="9">
        <v>387.07454545454539</v>
      </c>
      <c r="K391" s="28" t="s">
        <v>572</v>
      </c>
    </row>
    <row r="392" spans="2:11" ht="18" customHeight="1" x14ac:dyDescent="0.15">
      <c r="B392" s="48"/>
      <c r="D392" s="23">
        <v>17419</v>
      </c>
      <c r="E392" s="5">
        <v>4226.57</v>
      </c>
      <c r="F392" s="6">
        <v>12</v>
      </c>
      <c r="G392" s="6">
        <v>1876</v>
      </c>
      <c r="H392" s="24">
        <v>40519.627083333333</v>
      </c>
      <c r="I392" s="24">
        <v>40875.574305555558</v>
      </c>
      <c r="J392" s="5">
        <v>352.21416666666659</v>
      </c>
      <c r="K392" s="25" t="s">
        <v>572</v>
      </c>
    </row>
    <row r="393" spans="2:11" ht="18" customHeight="1" x14ac:dyDescent="0.15">
      <c r="B393" s="48"/>
      <c r="D393" s="26">
        <v>14277</v>
      </c>
      <c r="E393" s="9">
        <v>4216.2</v>
      </c>
      <c r="F393" s="10">
        <v>3</v>
      </c>
      <c r="G393" s="10">
        <v>1984</v>
      </c>
      <c r="H393" s="27">
        <v>40674.555555555547</v>
      </c>
      <c r="I393" s="27">
        <v>40871.625694444447</v>
      </c>
      <c r="J393" s="9">
        <v>1405.4</v>
      </c>
      <c r="K393" s="28" t="s">
        <v>572</v>
      </c>
    </row>
    <row r="394" spans="2:11" ht="18" customHeight="1" x14ac:dyDescent="0.15">
      <c r="B394" s="48"/>
      <c r="D394" s="23">
        <v>15804</v>
      </c>
      <c r="E394" s="5">
        <v>4206.3900000000003</v>
      </c>
      <c r="F394" s="6">
        <v>13</v>
      </c>
      <c r="G394" s="6">
        <v>2565</v>
      </c>
      <c r="H394" s="24">
        <v>40688.425000000003</v>
      </c>
      <c r="I394" s="24">
        <v>40886.521527777782</v>
      </c>
      <c r="J394" s="5">
        <v>323.56846153846158</v>
      </c>
      <c r="K394" s="25" t="s">
        <v>572</v>
      </c>
    </row>
    <row r="395" spans="2:11" ht="18" customHeight="1" x14ac:dyDescent="0.15">
      <c r="B395" s="48"/>
      <c r="D395" s="26">
        <v>17920</v>
      </c>
      <c r="E395" s="9">
        <v>4204.1000000000004</v>
      </c>
      <c r="F395" s="10">
        <v>17</v>
      </c>
      <c r="G395" s="10">
        <v>2516</v>
      </c>
      <c r="H395" s="27">
        <v>40513.492361111108</v>
      </c>
      <c r="I395" s="27">
        <v>40882.603472222218</v>
      </c>
      <c r="J395" s="9">
        <v>247.3</v>
      </c>
      <c r="K395" s="28" t="s">
        <v>572</v>
      </c>
    </row>
    <row r="396" spans="2:11" ht="18" customHeight="1" x14ac:dyDescent="0.15">
      <c r="B396" s="48"/>
      <c r="D396" s="23">
        <v>15971</v>
      </c>
      <c r="E396" s="5">
        <v>4199.8500000000004</v>
      </c>
      <c r="F396" s="6">
        <v>12</v>
      </c>
      <c r="G396" s="6">
        <v>1717</v>
      </c>
      <c r="H396" s="24">
        <v>40575.699305555558</v>
      </c>
      <c r="I396" s="24">
        <v>40869.534722222219</v>
      </c>
      <c r="J396" s="5">
        <v>349.98750000000001</v>
      </c>
      <c r="K396" s="25" t="s">
        <v>572</v>
      </c>
    </row>
    <row r="397" spans="2:11" ht="18" customHeight="1" x14ac:dyDescent="0.15">
      <c r="B397" s="48"/>
      <c r="D397" s="26">
        <v>12747</v>
      </c>
      <c r="E397" s="9">
        <v>4196.01</v>
      </c>
      <c r="F397" s="10">
        <v>11</v>
      </c>
      <c r="G397" s="10">
        <v>1275</v>
      </c>
      <c r="H397" s="27">
        <v>40517.651388888888</v>
      </c>
      <c r="I397" s="27">
        <v>40884.606944444437</v>
      </c>
      <c r="J397" s="9">
        <v>381.45545454545459</v>
      </c>
      <c r="K397" s="28" t="s">
        <v>572</v>
      </c>
    </row>
    <row r="398" spans="2:11" ht="18" customHeight="1" x14ac:dyDescent="0.15">
      <c r="B398" s="48"/>
      <c r="D398" s="23">
        <v>14146</v>
      </c>
      <c r="E398" s="5">
        <v>4191</v>
      </c>
      <c r="F398" s="6">
        <v>5</v>
      </c>
      <c r="G398" s="6">
        <v>2437</v>
      </c>
      <c r="H398" s="24">
        <v>40529.661111111112</v>
      </c>
      <c r="I398" s="24">
        <v>40878.429166666669</v>
      </c>
      <c r="J398" s="5">
        <v>838.2</v>
      </c>
      <c r="K398" s="25" t="s">
        <v>572</v>
      </c>
    </row>
    <row r="399" spans="2:11" ht="18" customHeight="1" x14ac:dyDescent="0.15">
      <c r="B399" s="48"/>
      <c r="D399" s="26">
        <v>18041</v>
      </c>
      <c r="E399" s="9">
        <v>4183.3900000000003</v>
      </c>
      <c r="F399" s="10">
        <v>21</v>
      </c>
      <c r="G399" s="10">
        <v>3819</v>
      </c>
      <c r="H399" s="27">
        <v>40514.472916666673</v>
      </c>
      <c r="I399" s="27">
        <v>40875.48541666667</v>
      </c>
      <c r="J399" s="9">
        <v>199.2090476190476</v>
      </c>
      <c r="K399" s="28" t="s">
        <v>572</v>
      </c>
    </row>
    <row r="400" spans="2:11" ht="18" customHeight="1" x14ac:dyDescent="0.15">
      <c r="B400" s="48"/>
      <c r="D400" s="23">
        <v>12949</v>
      </c>
      <c r="E400" s="5">
        <v>4167.22</v>
      </c>
      <c r="F400" s="6">
        <v>8</v>
      </c>
      <c r="G400" s="6">
        <v>2381</v>
      </c>
      <c r="H400" s="24">
        <v>40634.555555555547</v>
      </c>
      <c r="I400" s="24">
        <v>40856.475694444453</v>
      </c>
      <c r="J400" s="5">
        <v>520.90250000000003</v>
      </c>
      <c r="K400" s="25" t="s">
        <v>572</v>
      </c>
    </row>
    <row r="401" spans="2:11" ht="18" customHeight="1" x14ac:dyDescent="0.15">
      <c r="B401" s="48"/>
      <c r="D401" s="26">
        <v>15570</v>
      </c>
      <c r="E401" s="9">
        <v>4165.5200000000004</v>
      </c>
      <c r="F401" s="10">
        <v>12</v>
      </c>
      <c r="G401" s="10">
        <v>2067</v>
      </c>
      <c r="H401" s="27">
        <v>40517.539583333331</v>
      </c>
      <c r="I401" s="27">
        <v>40879.615972222222</v>
      </c>
      <c r="J401" s="9">
        <v>347.12666666666672</v>
      </c>
      <c r="K401" s="28" t="s">
        <v>572</v>
      </c>
    </row>
    <row r="402" spans="2:11" ht="18" customHeight="1" x14ac:dyDescent="0.15">
      <c r="B402" s="48"/>
      <c r="D402" s="23">
        <v>16549</v>
      </c>
      <c r="E402" s="5">
        <v>4154.6400000000003</v>
      </c>
      <c r="F402" s="6">
        <v>10</v>
      </c>
      <c r="G402" s="6">
        <v>2365</v>
      </c>
      <c r="H402" s="24">
        <v>40552.585416666669</v>
      </c>
      <c r="I402" s="24">
        <v>40876.629166666673</v>
      </c>
      <c r="J402" s="5">
        <v>415.46400000000011</v>
      </c>
      <c r="K402" s="25" t="s">
        <v>572</v>
      </c>
    </row>
    <row r="403" spans="2:11" ht="18" customHeight="1" x14ac:dyDescent="0.15">
      <c r="B403" s="48"/>
      <c r="D403" s="26">
        <v>13384</v>
      </c>
      <c r="E403" s="9">
        <v>4151.93</v>
      </c>
      <c r="F403" s="10">
        <v>7</v>
      </c>
      <c r="G403" s="10">
        <v>2422</v>
      </c>
      <c r="H403" s="27">
        <v>40708.532638888893</v>
      </c>
      <c r="I403" s="27">
        <v>40856.461111111108</v>
      </c>
      <c r="J403" s="9">
        <v>593.13285714285723</v>
      </c>
      <c r="K403" s="28" t="s">
        <v>572</v>
      </c>
    </row>
    <row r="404" spans="2:11" ht="18" customHeight="1" x14ac:dyDescent="0.15">
      <c r="B404" s="48"/>
      <c r="D404" s="23">
        <v>13555</v>
      </c>
      <c r="E404" s="5">
        <v>4149.28</v>
      </c>
      <c r="F404" s="6">
        <v>4</v>
      </c>
      <c r="G404" s="6">
        <v>2660</v>
      </c>
      <c r="H404" s="24">
        <v>40685.462500000001</v>
      </c>
      <c r="I404" s="24">
        <v>40813.525000000001</v>
      </c>
      <c r="J404" s="5">
        <v>1037.32</v>
      </c>
      <c r="K404" s="25" t="s">
        <v>572</v>
      </c>
    </row>
    <row r="405" spans="2:11" ht="18" customHeight="1" x14ac:dyDescent="0.15">
      <c r="B405" s="48"/>
      <c r="D405" s="26">
        <v>13988</v>
      </c>
      <c r="E405" s="9">
        <v>4147.96</v>
      </c>
      <c r="F405" s="10">
        <v>6</v>
      </c>
      <c r="G405" s="10">
        <v>3044</v>
      </c>
      <c r="H405" s="27">
        <v>40632.491666666669</v>
      </c>
      <c r="I405" s="27">
        <v>40867.427083333343</v>
      </c>
      <c r="J405" s="9">
        <v>691.32666666666671</v>
      </c>
      <c r="K405" s="28" t="s">
        <v>572</v>
      </c>
    </row>
    <row r="406" spans="2:11" ht="18" customHeight="1" x14ac:dyDescent="0.15">
      <c r="B406" s="48"/>
      <c r="D406" s="23">
        <v>15514</v>
      </c>
      <c r="E406" s="5">
        <v>4139.46</v>
      </c>
      <c r="F406" s="6">
        <v>11</v>
      </c>
      <c r="G406" s="6">
        <v>2160</v>
      </c>
      <c r="H406" s="24">
        <v>40522.576388888891</v>
      </c>
      <c r="I406" s="24">
        <v>40874.611111111109</v>
      </c>
      <c r="J406" s="5">
        <v>376.31454545454551</v>
      </c>
      <c r="K406" s="25" t="s">
        <v>572</v>
      </c>
    </row>
    <row r="407" spans="2:11" ht="18" customHeight="1" x14ac:dyDescent="0.15">
      <c r="B407" s="48"/>
      <c r="D407" s="26">
        <v>12569</v>
      </c>
      <c r="E407" s="9">
        <v>4124.6899999999996</v>
      </c>
      <c r="F407" s="10">
        <v>32</v>
      </c>
      <c r="G407" s="10">
        <v>1801</v>
      </c>
      <c r="H407" s="27">
        <v>40634.574305555558</v>
      </c>
      <c r="I407" s="27">
        <v>40884.683333333327</v>
      </c>
      <c r="J407" s="9">
        <v>128.89656249999999</v>
      </c>
      <c r="K407" s="28" t="s">
        <v>572</v>
      </c>
    </row>
    <row r="408" spans="2:11" ht="18" customHeight="1" x14ac:dyDescent="0.15">
      <c r="B408" s="48"/>
      <c r="D408" s="23">
        <v>16592</v>
      </c>
      <c r="E408" s="5">
        <v>4113.68</v>
      </c>
      <c r="F408" s="6">
        <v>16</v>
      </c>
      <c r="G408" s="6">
        <v>2927</v>
      </c>
      <c r="H408" s="24">
        <v>40599.429861111108</v>
      </c>
      <c r="I408" s="24">
        <v>40882.575694444437</v>
      </c>
      <c r="J408" s="5">
        <v>257.10500000000002</v>
      </c>
      <c r="K408" s="25" t="s">
        <v>572</v>
      </c>
    </row>
    <row r="409" spans="2:11" ht="18" customHeight="1" x14ac:dyDescent="0.15">
      <c r="B409" s="48"/>
      <c r="D409" s="26">
        <v>17940</v>
      </c>
      <c r="E409" s="9">
        <v>4106.4400000000014</v>
      </c>
      <c r="F409" s="10">
        <v>10</v>
      </c>
      <c r="G409" s="10">
        <v>9755</v>
      </c>
      <c r="H409" s="27">
        <v>40584.395138888889</v>
      </c>
      <c r="I409" s="27">
        <v>40837.560416666667</v>
      </c>
      <c r="J409" s="9">
        <v>410.64400000000012</v>
      </c>
      <c r="K409" s="28" t="s">
        <v>572</v>
      </c>
    </row>
    <row r="410" spans="2:11" ht="18" customHeight="1" x14ac:dyDescent="0.15">
      <c r="B410" s="48"/>
      <c r="D410" s="23">
        <v>17377</v>
      </c>
      <c r="E410" s="5">
        <v>4100.92</v>
      </c>
      <c r="F410" s="6">
        <v>20</v>
      </c>
      <c r="G410" s="6">
        <v>2076</v>
      </c>
      <c r="H410" s="24">
        <v>40513.524305555547</v>
      </c>
      <c r="I410" s="24">
        <v>40863.470138888893</v>
      </c>
      <c r="J410" s="5">
        <v>205.04599999999999</v>
      </c>
      <c r="K410" s="25" t="s">
        <v>572</v>
      </c>
    </row>
    <row r="411" spans="2:11" ht="18" customHeight="1" x14ac:dyDescent="0.15">
      <c r="B411" s="48"/>
      <c r="D411" s="26">
        <v>16401</v>
      </c>
      <c r="E411" s="9">
        <v>4098.32</v>
      </c>
      <c r="F411" s="10">
        <v>12</v>
      </c>
      <c r="G411" s="10">
        <v>3882</v>
      </c>
      <c r="H411" s="27">
        <v>40559.455555555563</v>
      </c>
      <c r="I411" s="27">
        <v>40885.760416666657</v>
      </c>
      <c r="J411" s="9">
        <v>341.52666666666659</v>
      </c>
      <c r="K411" s="28" t="s">
        <v>572</v>
      </c>
    </row>
    <row r="412" spans="2:11" ht="18" customHeight="1" x14ac:dyDescent="0.15">
      <c r="B412" s="48"/>
      <c r="D412" s="23">
        <v>16670</v>
      </c>
      <c r="E412" s="5">
        <v>4095.9</v>
      </c>
      <c r="F412" s="6">
        <v>11</v>
      </c>
      <c r="G412" s="6">
        <v>2556</v>
      </c>
      <c r="H412" s="24">
        <v>40528.4375</v>
      </c>
      <c r="I412" s="24">
        <v>40870.398611111108</v>
      </c>
      <c r="J412" s="5">
        <v>372.35454545454547</v>
      </c>
      <c r="K412" s="25" t="s">
        <v>572</v>
      </c>
    </row>
    <row r="413" spans="2:11" ht="18" customHeight="1" x14ac:dyDescent="0.15">
      <c r="B413" s="48"/>
      <c r="D413" s="26">
        <v>12749</v>
      </c>
      <c r="E413" s="9">
        <v>4090.88</v>
      </c>
      <c r="F413" s="10">
        <v>5</v>
      </c>
      <c r="G413" s="10">
        <v>1471</v>
      </c>
      <c r="H413" s="27">
        <v>40673.642361111109</v>
      </c>
      <c r="I413" s="27">
        <v>40883.413888888892</v>
      </c>
      <c r="J413" s="9">
        <v>818.17600000000004</v>
      </c>
      <c r="K413" s="28" t="s">
        <v>572</v>
      </c>
    </row>
    <row r="414" spans="2:11" ht="18" customHeight="1" x14ac:dyDescent="0.15">
      <c r="B414" s="48"/>
      <c r="D414" s="23">
        <v>14092</v>
      </c>
      <c r="E414" s="5">
        <v>4076.91</v>
      </c>
      <c r="F414" s="6">
        <v>14</v>
      </c>
      <c r="G414" s="6">
        <v>2066</v>
      </c>
      <c r="H414" s="24">
        <v>40528.657638888893</v>
      </c>
      <c r="I414" s="24">
        <v>40879.509027777778</v>
      </c>
      <c r="J414" s="5">
        <v>291.20785714285711</v>
      </c>
      <c r="K414" s="25" t="s">
        <v>572</v>
      </c>
    </row>
    <row r="415" spans="2:11" ht="18" customHeight="1" x14ac:dyDescent="0.15">
      <c r="B415" s="48"/>
      <c r="D415" s="26">
        <v>12449</v>
      </c>
      <c r="E415" s="9">
        <v>4067.29</v>
      </c>
      <c r="F415" s="10">
        <v>4</v>
      </c>
      <c r="G415" s="10">
        <v>1553</v>
      </c>
      <c r="H415" s="27">
        <v>40699.650694444441</v>
      </c>
      <c r="I415" s="27">
        <v>40864.573611111111</v>
      </c>
      <c r="J415" s="9">
        <v>1016.8225</v>
      </c>
      <c r="K415" s="28" t="s">
        <v>572</v>
      </c>
    </row>
    <row r="416" spans="2:11" ht="18" customHeight="1" x14ac:dyDescent="0.15">
      <c r="B416" s="48"/>
      <c r="D416" s="23">
        <v>18087</v>
      </c>
      <c r="E416" s="5">
        <v>4055.7199999999989</v>
      </c>
      <c r="F416" s="6">
        <v>2</v>
      </c>
      <c r="G416" s="6">
        <v>3907</v>
      </c>
      <c r="H416" s="24">
        <v>40596.446527777778</v>
      </c>
      <c r="I416" s="24">
        <v>40788.633333333331</v>
      </c>
      <c r="J416" s="5">
        <v>2027.86</v>
      </c>
      <c r="K416" s="25" t="s">
        <v>572</v>
      </c>
    </row>
    <row r="417" spans="2:11" ht="18" customHeight="1" x14ac:dyDescent="0.15">
      <c r="B417" s="48"/>
      <c r="D417" s="26">
        <v>14401</v>
      </c>
      <c r="E417" s="9">
        <v>4051.48</v>
      </c>
      <c r="F417" s="10">
        <v>13</v>
      </c>
      <c r="G417" s="10">
        <v>4507</v>
      </c>
      <c r="H417" s="27">
        <v>40527.379861111112</v>
      </c>
      <c r="I417" s="27">
        <v>40882.5625</v>
      </c>
      <c r="J417" s="9">
        <v>311.65230769230772</v>
      </c>
      <c r="K417" s="28" t="s">
        <v>572</v>
      </c>
    </row>
    <row r="418" spans="2:11" ht="18" customHeight="1" x14ac:dyDescent="0.15">
      <c r="B418" s="48"/>
      <c r="D418" s="23">
        <v>12656</v>
      </c>
      <c r="E418" s="5">
        <v>4051.17</v>
      </c>
      <c r="F418" s="6">
        <v>5</v>
      </c>
      <c r="G418" s="6">
        <v>1723</v>
      </c>
      <c r="H418" s="24">
        <v>40653.388888888891</v>
      </c>
      <c r="I418" s="24">
        <v>40869.570833333331</v>
      </c>
      <c r="J418" s="5">
        <v>810.23400000000004</v>
      </c>
      <c r="K418" s="25" t="s">
        <v>572</v>
      </c>
    </row>
    <row r="419" spans="2:11" ht="18" customHeight="1" x14ac:dyDescent="0.15">
      <c r="B419" s="48"/>
      <c r="D419" s="26">
        <v>12867</v>
      </c>
      <c r="E419" s="9">
        <v>4036.82</v>
      </c>
      <c r="F419" s="10">
        <v>7</v>
      </c>
      <c r="G419" s="10">
        <v>4298</v>
      </c>
      <c r="H419" s="27">
        <v>40526.693749999999</v>
      </c>
      <c r="I419" s="27">
        <v>40860.645833333343</v>
      </c>
      <c r="J419" s="9">
        <v>576.68857142857144</v>
      </c>
      <c r="K419" s="28" t="s">
        <v>572</v>
      </c>
    </row>
    <row r="420" spans="2:11" ht="18" customHeight="1" x14ac:dyDescent="0.15">
      <c r="B420" s="48"/>
      <c r="D420" s="23">
        <v>13815</v>
      </c>
      <c r="E420" s="5">
        <v>4027.36</v>
      </c>
      <c r="F420" s="6">
        <v>4</v>
      </c>
      <c r="G420" s="6">
        <v>2560</v>
      </c>
      <c r="H420" s="24">
        <v>40568.511111111111</v>
      </c>
      <c r="I420" s="24">
        <v>40864.59652777778</v>
      </c>
      <c r="J420" s="5">
        <v>1006.84</v>
      </c>
      <c r="K420" s="25" t="s">
        <v>572</v>
      </c>
    </row>
    <row r="421" spans="2:11" ht="18" customHeight="1" x14ac:dyDescent="0.15">
      <c r="B421" s="48"/>
      <c r="D421" s="26">
        <v>12841</v>
      </c>
      <c r="E421" s="9">
        <v>4022.35</v>
      </c>
      <c r="F421" s="10">
        <v>25</v>
      </c>
      <c r="G421" s="10">
        <v>2757</v>
      </c>
      <c r="H421" s="27">
        <v>40515.446527777778</v>
      </c>
      <c r="I421" s="27">
        <v>40882.467361111107</v>
      </c>
      <c r="J421" s="9">
        <v>160.89400000000001</v>
      </c>
      <c r="K421" s="28" t="s">
        <v>572</v>
      </c>
    </row>
    <row r="422" spans="2:11" ht="18" customHeight="1" x14ac:dyDescent="0.15">
      <c r="B422" s="48"/>
      <c r="D422" s="23">
        <v>12957</v>
      </c>
      <c r="E422" s="5">
        <v>4017.54</v>
      </c>
      <c r="F422" s="6">
        <v>8</v>
      </c>
      <c r="G422" s="6">
        <v>2549</v>
      </c>
      <c r="H422" s="24">
        <v>40547.512499999997</v>
      </c>
      <c r="I422" s="24">
        <v>40877.411805555559</v>
      </c>
      <c r="J422" s="5">
        <v>502.1925</v>
      </c>
      <c r="K422" s="25" t="s">
        <v>572</v>
      </c>
    </row>
    <row r="423" spans="2:11" ht="18" customHeight="1" x14ac:dyDescent="0.15">
      <c r="B423" s="48"/>
      <c r="D423" s="26">
        <v>12378</v>
      </c>
      <c r="E423" s="9">
        <v>4008.62</v>
      </c>
      <c r="F423" s="10">
        <v>1</v>
      </c>
      <c r="G423" s="10">
        <v>2529</v>
      </c>
      <c r="H423" s="27">
        <v>40757.44027777778</v>
      </c>
      <c r="I423" s="27">
        <v>40757.44027777778</v>
      </c>
      <c r="J423" s="9">
        <v>4008.62</v>
      </c>
      <c r="K423" s="28" t="s">
        <v>573</v>
      </c>
    </row>
    <row r="424" spans="2:11" ht="18" customHeight="1" x14ac:dyDescent="0.15">
      <c r="B424" s="48"/>
      <c r="D424" s="23">
        <v>14547</v>
      </c>
      <c r="E424" s="5">
        <v>4007.54</v>
      </c>
      <c r="F424" s="6">
        <v>8</v>
      </c>
      <c r="G424" s="6">
        <v>2668</v>
      </c>
      <c r="H424" s="24">
        <v>40832.607638888891</v>
      </c>
      <c r="I424" s="24">
        <v>40883.462500000001</v>
      </c>
      <c r="J424" s="5">
        <v>500.9425</v>
      </c>
      <c r="K424" s="25" t="s">
        <v>572</v>
      </c>
    </row>
    <row r="425" spans="2:11" ht="18" customHeight="1" x14ac:dyDescent="0.15">
      <c r="B425" s="48"/>
      <c r="D425" s="26">
        <v>16186</v>
      </c>
      <c r="E425" s="9">
        <v>4006.94</v>
      </c>
      <c r="F425" s="10">
        <v>12</v>
      </c>
      <c r="G425" s="10">
        <v>3020</v>
      </c>
      <c r="H425" s="27">
        <v>40514.611111111109</v>
      </c>
      <c r="I425" s="27">
        <v>40864.529861111107</v>
      </c>
      <c r="J425" s="9">
        <v>333.91166666666669</v>
      </c>
      <c r="K425" s="28" t="s">
        <v>572</v>
      </c>
    </row>
    <row r="426" spans="2:11" ht="18" customHeight="1" x14ac:dyDescent="0.15">
      <c r="B426" s="48"/>
      <c r="D426" s="23">
        <v>17769</v>
      </c>
      <c r="E426" s="5">
        <v>3997.98</v>
      </c>
      <c r="F426" s="6">
        <v>10</v>
      </c>
      <c r="G426" s="6">
        <v>1862</v>
      </c>
      <c r="H426" s="24">
        <v>40566.46875</v>
      </c>
      <c r="I426" s="24">
        <v>40874.470833333333</v>
      </c>
      <c r="J426" s="5">
        <v>399.798</v>
      </c>
      <c r="K426" s="25" t="s">
        <v>572</v>
      </c>
    </row>
    <row r="427" spans="2:11" ht="18" customHeight="1" x14ac:dyDescent="0.15">
      <c r="B427" s="48"/>
      <c r="D427" s="26">
        <v>15529</v>
      </c>
      <c r="E427" s="9">
        <v>3995.23</v>
      </c>
      <c r="F427" s="10">
        <v>11</v>
      </c>
      <c r="G427" s="10">
        <v>3496</v>
      </c>
      <c r="H427" s="27">
        <v>40520.51666666667</v>
      </c>
      <c r="I427" s="27">
        <v>40864.478472222218</v>
      </c>
      <c r="J427" s="9">
        <v>363.20272727272732</v>
      </c>
      <c r="K427" s="28" t="s">
        <v>572</v>
      </c>
    </row>
    <row r="428" spans="2:11" ht="18" customHeight="1" x14ac:dyDescent="0.15">
      <c r="B428" s="48"/>
      <c r="D428" s="23">
        <v>17001</v>
      </c>
      <c r="E428" s="5">
        <v>3989.57</v>
      </c>
      <c r="F428" s="6">
        <v>11</v>
      </c>
      <c r="G428" s="6">
        <v>2164</v>
      </c>
      <c r="H428" s="24">
        <v>40528.399305555547</v>
      </c>
      <c r="I428" s="24">
        <v>40886.401388888888</v>
      </c>
      <c r="J428" s="5">
        <v>362.68818181818182</v>
      </c>
      <c r="K428" s="25" t="s">
        <v>572</v>
      </c>
    </row>
    <row r="429" spans="2:11" ht="18" customHeight="1" x14ac:dyDescent="0.15">
      <c r="B429" s="48"/>
      <c r="D429" s="26">
        <v>15416</v>
      </c>
      <c r="E429" s="9">
        <v>3984.32</v>
      </c>
      <c r="F429" s="10">
        <v>4</v>
      </c>
      <c r="G429" s="10">
        <v>2090</v>
      </c>
      <c r="H429" s="27">
        <v>40604.361805555563</v>
      </c>
      <c r="I429" s="27">
        <v>40822.401388888888</v>
      </c>
      <c r="J429" s="9">
        <v>996.08</v>
      </c>
      <c r="K429" s="28" t="s">
        <v>572</v>
      </c>
    </row>
    <row r="430" spans="2:11" ht="18" customHeight="1" x14ac:dyDescent="0.15">
      <c r="B430" s="48"/>
      <c r="D430" s="23">
        <v>17611</v>
      </c>
      <c r="E430" s="5">
        <v>3984.22</v>
      </c>
      <c r="F430" s="6">
        <v>15</v>
      </c>
      <c r="G430" s="6">
        <v>2560</v>
      </c>
      <c r="H430" s="24">
        <v>40525.577777777777</v>
      </c>
      <c r="I430" s="24">
        <v>40879.561805555553</v>
      </c>
      <c r="J430" s="5">
        <v>265.61466666666672</v>
      </c>
      <c r="K430" s="25" t="s">
        <v>572</v>
      </c>
    </row>
    <row r="431" spans="2:11" ht="18" customHeight="1" x14ac:dyDescent="0.15">
      <c r="B431" s="48"/>
      <c r="D431" s="26">
        <v>12779</v>
      </c>
      <c r="E431" s="9">
        <v>3981.36</v>
      </c>
      <c r="F431" s="10">
        <v>8</v>
      </c>
      <c r="G431" s="10">
        <v>2024</v>
      </c>
      <c r="H431" s="27">
        <v>40515.569444444453</v>
      </c>
      <c r="I431" s="27">
        <v>40849.488194444442</v>
      </c>
      <c r="J431" s="9">
        <v>497.67</v>
      </c>
      <c r="K431" s="28" t="s">
        <v>572</v>
      </c>
    </row>
    <row r="432" spans="2:11" ht="18" customHeight="1" x14ac:dyDescent="0.15">
      <c r="B432" s="48"/>
      <c r="D432" s="23">
        <v>12727</v>
      </c>
      <c r="E432" s="5">
        <v>3980.7</v>
      </c>
      <c r="F432" s="6">
        <v>7</v>
      </c>
      <c r="G432" s="6">
        <v>2098</v>
      </c>
      <c r="H432" s="24">
        <v>40566.636805555558</v>
      </c>
      <c r="I432" s="24">
        <v>40876.490277777782</v>
      </c>
      <c r="J432" s="5">
        <v>568.67142857142858</v>
      </c>
      <c r="K432" s="25" t="s">
        <v>572</v>
      </c>
    </row>
    <row r="433" spans="2:11" ht="18" customHeight="1" x14ac:dyDescent="0.15">
      <c r="B433" s="48"/>
      <c r="D433" s="26">
        <v>14299</v>
      </c>
      <c r="E433" s="9">
        <v>3965.62</v>
      </c>
      <c r="F433" s="10">
        <v>9</v>
      </c>
      <c r="G433" s="10">
        <v>2149</v>
      </c>
      <c r="H433" s="27">
        <v>40521.4375</v>
      </c>
      <c r="I433" s="27">
        <v>40878.670138888891</v>
      </c>
      <c r="J433" s="9">
        <v>440.62444444444441</v>
      </c>
      <c r="K433" s="28" t="s">
        <v>572</v>
      </c>
    </row>
    <row r="434" spans="2:11" ht="18" customHeight="1" x14ac:dyDescent="0.15">
      <c r="B434" s="48"/>
      <c r="D434" s="23">
        <v>13523</v>
      </c>
      <c r="E434" s="5">
        <v>3964.88</v>
      </c>
      <c r="F434" s="6">
        <v>5</v>
      </c>
      <c r="G434" s="6">
        <v>1752</v>
      </c>
      <c r="H434" s="24">
        <v>40520.598611111112</v>
      </c>
      <c r="I434" s="24">
        <v>40853.632638888892</v>
      </c>
      <c r="J434" s="5">
        <v>792.976</v>
      </c>
      <c r="K434" s="25" t="s">
        <v>572</v>
      </c>
    </row>
    <row r="435" spans="2:11" ht="18" customHeight="1" x14ac:dyDescent="0.15">
      <c r="B435" s="48"/>
      <c r="D435" s="26">
        <v>13183</v>
      </c>
      <c r="E435" s="9">
        <v>3957.78</v>
      </c>
      <c r="F435" s="10">
        <v>9</v>
      </c>
      <c r="G435" s="10">
        <v>2208</v>
      </c>
      <c r="H435" s="27">
        <v>40552.451388888891</v>
      </c>
      <c r="I435" s="27">
        <v>40879.4375</v>
      </c>
      <c r="J435" s="9">
        <v>439.75333333333327</v>
      </c>
      <c r="K435" s="28" t="s">
        <v>572</v>
      </c>
    </row>
    <row r="436" spans="2:11" ht="18" customHeight="1" x14ac:dyDescent="0.15">
      <c r="B436" s="48"/>
      <c r="D436" s="23">
        <v>17651</v>
      </c>
      <c r="E436" s="5">
        <v>3945</v>
      </c>
      <c r="F436" s="6">
        <v>10</v>
      </c>
      <c r="G436" s="6">
        <v>3112</v>
      </c>
      <c r="H436" s="24">
        <v>40709.664583333331</v>
      </c>
      <c r="I436" s="24">
        <v>40875.436805555553</v>
      </c>
      <c r="J436" s="5">
        <v>394.5</v>
      </c>
      <c r="K436" s="25" t="s">
        <v>572</v>
      </c>
    </row>
    <row r="437" spans="2:11" ht="18" customHeight="1" x14ac:dyDescent="0.15">
      <c r="B437" s="48"/>
      <c r="D437" s="26">
        <v>12473</v>
      </c>
      <c r="E437" s="9">
        <v>3938.55</v>
      </c>
      <c r="F437" s="10">
        <v>5</v>
      </c>
      <c r="G437" s="10">
        <v>2439</v>
      </c>
      <c r="H437" s="27">
        <v>40695.427083333343</v>
      </c>
      <c r="I437" s="27">
        <v>40857.573611111111</v>
      </c>
      <c r="J437" s="9">
        <v>787.70999999999992</v>
      </c>
      <c r="K437" s="28" t="s">
        <v>572</v>
      </c>
    </row>
    <row r="438" spans="2:11" ht="18" customHeight="1" x14ac:dyDescent="0.15">
      <c r="B438" s="48"/>
      <c r="D438" s="23">
        <v>17593</v>
      </c>
      <c r="E438" s="5">
        <v>3927.34</v>
      </c>
      <c r="F438" s="6">
        <v>5</v>
      </c>
      <c r="G438" s="6">
        <v>3101</v>
      </c>
      <c r="H438" s="24">
        <v>40534.436805555553</v>
      </c>
      <c r="I438" s="24">
        <v>40883.4375</v>
      </c>
      <c r="J438" s="5">
        <v>785.46800000000007</v>
      </c>
      <c r="K438" s="25" t="s">
        <v>572</v>
      </c>
    </row>
    <row r="439" spans="2:11" ht="18" customHeight="1" x14ac:dyDescent="0.15">
      <c r="B439" s="48"/>
      <c r="D439" s="26">
        <v>14739</v>
      </c>
      <c r="E439" s="9">
        <v>3902.28</v>
      </c>
      <c r="F439" s="10">
        <v>7</v>
      </c>
      <c r="G439" s="10">
        <v>3820</v>
      </c>
      <c r="H439" s="27">
        <v>40519.623611111107</v>
      </c>
      <c r="I439" s="27">
        <v>40882.70416666667</v>
      </c>
      <c r="J439" s="9">
        <v>557.46857142857141</v>
      </c>
      <c r="K439" s="28" t="s">
        <v>572</v>
      </c>
    </row>
    <row r="440" spans="2:11" ht="18" customHeight="1" x14ac:dyDescent="0.15">
      <c r="B440" s="48"/>
      <c r="D440" s="23">
        <v>13999</v>
      </c>
      <c r="E440" s="5">
        <v>3901.81</v>
      </c>
      <c r="F440" s="6">
        <v>12</v>
      </c>
      <c r="G440" s="6">
        <v>2243</v>
      </c>
      <c r="H440" s="24">
        <v>40525.474305555559</v>
      </c>
      <c r="I440" s="24">
        <v>40876.569444444453</v>
      </c>
      <c r="J440" s="5">
        <v>325.15083333333331</v>
      </c>
      <c r="K440" s="25" t="s">
        <v>572</v>
      </c>
    </row>
    <row r="441" spans="2:11" ht="18" customHeight="1" x14ac:dyDescent="0.15">
      <c r="B441" s="48"/>
      <c r="D441" s="26">
        <v>14291</v>
      </c>
      <c r="E441" s="9">
        <v>3883.25</v>
      </c>
      <c r="F441" s="10">
        <v>11</v>
      </c>
      <c r="G441" s="10">
        <v>2749</v>
      </c>
      <c r="H441" s="27">
        <v>40611.638888888891</v>
      </c>
      <c r="I441" s="27">
        <v>40885.43472222222</v>
      </c>
      <c r="J441" s="9">
        <v>353.02272727272731</v>
      </c>
      <c r="K441" s="28" t="s">
        <v>572</v>
      </c>
    </row>
    <row r="442" spans="2:11" ht="18" customHeight="1" x14ac:dyDescent="0.15">
      <c r="B442" s="48"/>
      <c r="D442" s="23">
        <v>18073</v>
      </c>
      <c r="E442" s="5">
        <v>3877.52</v>
      </c>
      <c r="F442" s="6">
        <v>12</v>
      </c>
      <c r="G442" s="6">
        <v>3108</v>
      </c>
      <c r="H442" s="24">
        <v>40689.818055555559</v>
      </c>
      <c r="I442" s="24">
        <v>40772.584722222222</v>
      </c>
      <c r="J442" s="5">
        <v>323.12666666666672</v>
      </c>
      <c r="K442" s="25" t="s">
        <v>572</v>
      </c>
    </row>
    <row r="443" spans="2:11" ht="18" customHeight="1" x14ac:dyDescent="0.15">
      <c r="B443" s="48"/>
      <c r="D443" s="26">
        <v>13124</v>
      </c>
      <c r="E443" s="9">
        <v>3866.33</v>
      </c>
      <c r="F443" s="10">
        <v>3</v>
      </c>
      <c r="G443" s="10">
        <v>2147</v>
      </c>
      <c r="H443" s="27">
        <v>40527.625</v>
      </c>
      <c r="I443" s="27">
        <v>40797.53125</v>
      </c>
      <c r="J443" s="9">
        <v>1288.7766666666671</v>
      </c>
      <c r="K443" s="28" t="s">
        <v>572</v>
      </c>
    </row>
    <row r="444" spans="2:11" ht="18" customHeight="1" x14ac:dyDescent="0.15">
      <c r="B444" s="48"/>
      <c r="D444" s="23">
        <v>15195</v>
      </c>
      <c r="E444" s="5">
        <v>3861</v>
      </c>
      <c r="F444" s="6">
        <v>1</v>
      </c>
      <c r="G444" s="6">
        <v>1404</v>
      </c>
      <c r="H444" s="24">
        <v>40884.513888888891</v>
      </c>
      <c r="I444" s="24">
        <v>40884.513888888891</v>
      </c>
      <c r="J444" s="5">
        <v>3861</v>
      </c>
      <c r="K444" s="25" t="s">
        <v>573</v>
      </c>
    </row>
    <row r="445" spans="2:11" ht="18" customHeight="1" x14ac:dyDescent="0.15">
      <c r="B445" s="48"/>
      <c r="D445" s="26">
        <v>16717</v>
      </c>
      <c r="E445" s="9">
        <v>3858.38</v>
      </c>
      <c r="F445" s="10">
        <v>6</v>
      </c>
      <c r="G445" s="10">
        <v>1866</v>
      </c>
      <c r="H445" s="27">
        <v>40520.699999999997</v>
      </c>
      <c r="I445" s="27">
        <v>40863.511111111111</v>
      </c>
      <c r="J445" s="9">
        <v>643.06333333333339</v>
      </c>
      <c r="K445" s="28" t="s">
        <v>572</v>
      </c>
    </row>
    <row r="446" spans="2:11" ht="18" customHeight="1" x14ac:dyDescent="0.15">
      <c r="B446" s="48"/>
      <c r="D446" s="23">
        <v>12662</v>
      </c>
      <c r="E446" s="5">
        <v>3849.78</v>
      </c>
      <c r="F446" s="6">
        <v>11</v>
      </c>
      <c r="G446" s="6">
        <v>2058</v>
      </c>
      <c r="H446" s="24">
        <v>40513.544444444437</v>
      </c>
      <c r="I446" s="24">
        <v>40886.499305555553</v>
      </c>
      <c r="J446" s="5">
        <v>349.98</v>
      </c>
      <c r="K446" s="25" t="s">
        <v>572</v>
      </c>
    </row>
    <row r="447" spans="2:11" ht="18" customHeight="1" x14ac:dyDescent="0.15">
      <c r="B447" s="48"/>
      <c r="D447" s="26">
        <v>16327</v>
      </c>
      <c r="E447" s="9">
        <v>3844.22</v>
      </c>
      <c r="F447" s="10">
        <v>6</v>
      </c>
      <c r="G447" s="10">
        <v>2571</v>
      </c>
      <c r="H447" s="27">
        <v>40517.529861111107</v>
      </c>
      <c r="I447" s="27">
        <v>40872.557638888888</v>
      </c>
      <c r="J447" s="9">
        <v>640.70333333333326</v>
      </c>
      <c r="K447" s="28" t="s">
        <v>572</v>
      </c>
    </row>
    <row r="448" spans="2:11" ht="18" customHeight="1" x14ac:dyDescent="0.15">
      <c r="B448" s="48"/>
      <c r="D448" s="23">
        <v>13266</v>
      </c>
      <c r="E448" s="5">
        <v>3834.26</v>
      </c>
      <c r="F448" s="6">
        <v>12</v>
      </c>
      <c r="G448" s="6">
        <v>4428</v>
      </c>
      <c r="H448" s="24">
        <v>40630.426388888889</v>
      </c>
      <c r="I448" s="24">
        <v>40875.61041666667</v>
      </c>
      <c r="J448" s="5">
        <v>319.52166666666659</v>
      </c>
      <c r="K448" s="25" t="s">
        <v>572</v>
      </c>
    </row>
    <row r="449" spans="2:11" ht="18" customHeight="1" x14ac:dyDescent="0.15">
      <c r="B449" s="48"/>
      <c r="D449" s="26">
        <v>17091</v>
      </c>
      <c r="E449" s="9">
        <v>3827.76</v>
      </c>
      <c r="F449" s="10">
        <v>9</v>
      </c>
      <c r="G449" s="10">
        <v>1746</v>
      </c>
      <c r="H449" s="27">
        <v>40519.413194444453</v>
      </c>
      <c r="I449" s="27">
        <v>40884.446527777778</v>
      </c>
      <c r="J449" s="9">
        <v>425.30666666666667</v>
      </c>
      <c r="K449" s="28" t="s">
        <v>572</v>
      </c>
    </row>
    <row r="450" spans="2:11" ht="18" customHeight="1" x14ac:dyDescent="0.15">
      <c r="B450" s="48"/>
      <c r="D450" s="23">
        <v>15867</v>
      </c>
      <c r="E450" s="5">
        <v>3812.64</v>
      </c>
      <c r="F450" s="6">
        <v>15</v>
      </c>
      <c r="G450" s="6">
        <v>2054</v>
      </c>
      <c r="H450" s="24">
        <v>40517.595138888893</v>
      </c>
      <c r="I450" s="24">
        <v>40881.563888888893</v>
      </c>
      <c r="J450" s="5">
        <v>254.17599999999999</v>
      </c>
      <c r="K450" s="25" t="s">
        <v>572</v>
      </c>
    </row>
    <row r="451" spans="2:11" ht="18" customHeight="1" x14ac:dyDescent="0.15">
      <c r="B451" s="48"/>
      <c r="D451" s="26">
        <v>12755</v>
      </c>
      <c r="E451" s="9">
        <v>3811.95</v>
      </c>
      <c r="F451" s="10">
        <v>2</v>
      </c>
      <c r="G451" s="10">
        <v>1491</v>
      </c>
      <c r="H451" s="27">
        <v>40521.447222222218</v>
      </c>
      <c r="I451" s="27">
        <v>40606.529166666667</v>
      </c>
      <c r="J451" s="9">
        <v>1905.9749999999999</v>
      </c>
      <c r="K451" s="28" t="s">
        <v>572</v>
      </c>
    </row>
    <row r="452" spans="2:11" ht="18" customHeight="1" x14ac:dyDescent="0.15">
      <c r="B452" s="48"/>
      <c r="D452" s="23">
        <v>12597</v>
      </c>
      <c r="E452" s="5">
        <v>3811.22</v>
      </c>
      <c r="F452" s="6">
        <v>4</v>
      </c>
      <c r="G452" s="6">
        <v>2236</v>
      </c>
      <c r="H452" s="24">
        <v>40618.583333333343</v>
      </c>
      <c r="I452" s="24">
        <v>40867.564583333333</v>
      </c>
      <c r="J452" s="5">
        <v>952.80499999999995</v>
      </c>
      <c r="K452" s="25" t="s">
        <v>572</v>
      </c>
    </row>
    <row r="453" spans="2:11" ht="18" customHeight="1" x14ac:dyDescent="0.15">
      <c r="B453" s="48"/>
      <c r="D453" s="26">
        <v>13435</v>
      </c>
      <c r="E453" s="9">
        <v>3809.89</v>
      </c>
      <c r="F453" s="10">
        <v>7</v>
      </c>
      <c r="G453" s="10">
        <v>2129</v>
      </c>
      <c r="H453" s="27">
        <v>40697.713194444441</v>
      </c>
      <c r="I453" s="27">
        <v>40881.614583333343</v>
      </c>
      <c r="J453" s="9">
        <v>544.2700000000001</v>
      </c>
      <c r="K453" s="28" t="s">
        <v>572</v>
      </c>
    </row>
    <row r="454" spans="2:11" ht="18" customHeight="1" x14ac:dyDescent="0.15">
      <c r="B454" s="48"/>
      <c r="D454" s="23">
        <v>12668</v>
      </c>
      <c r="E454" s="5">
        <v>3807.15</v>
      </c>
      <c r="F454" s="6">
        <v>4</v>
      </c>
      <c r="G454" s="6">
        <v>1634</v>
      </c>
      <c r="H454" s="24">
        <v>40531.531944444447</v>
      </c>
      <c r="I454" s="24">
        <v>40875.455555555563</v>
      </c>
      <c r="J454" s="5">
        <v>951.78750000000002</v>
      </c>
      <c r="K454" s="25" t="s">
        <v>572</v>
      </c>
    </row>
    <row r="455" spans="2:11" ht="18" customHeight="1" x14ac:dyDescent="0.15">
      <c r="B455" s="48"/>
      <c r="D455" s="26">
        <v>16145</v>
      </c>
      <c r="E455" s="9">
        <v>3799.49</v>
      </c>
      <c r="F455" s="10">
        <v>11</v>
      </c>
      <c r="G455" s="10">
        <v>3123</v>
      </c>
      <c r="H455" s="27">
        <v>40527.381249999999</v>
      </c>
      <c r="I455" s="27">
        <v>40878.439583333333</v>
      </c>
      <c r="J455" s="9">
        <v>345.40818181818179</v>
      </c>
      <c r="K455" s="28" t="s">
        <v>572</v>
      </c>
    </row>
    <row r="456" spans="2:11" ht="18" customHeight="1" x14ac:dyDescent="0.15">
      <c r="B456" s="48"/>
      <c r="D456" s="23">
        <v>16655</v>
      </c>
      <c r="E456" s="5">
        <v>3794.52</v>
      </c>
      <c r="F456" s="6">
        <v>6</v>
      </c>
      <c r="G456" s="6">
        <v>2367</v>
      </c>
      <c r="H456" s="24">
        <v>40555.427777777782</v>
      </c>
      <c r="I456" s="24">
        <v>40869.475694444453</v>
      </c>
      <c r="J456" s="5">
        <v>632.41999999999996</v>
      </c>
      <c r="K456" s="25" t="s">
        <v>572</v>
      </c>
    </row>
    <row r="457" spans="2:11" ht="18" customHeight="1" x14ac:dyDescent="0.15">
      <c r="B457" s="48"/>
      <c r="D457" s="26">
        <v>16168</v>
      </c>
      <c r="E457" s="9">
        <v>3787.6</v>
      </c>
      <c r="F457" s="10">
        <v>27</v>
      </c>
      <c r="G457" s="10">
        <v>1892</v>
      </c>
      <c r="H457" s="27">
        <v>40517.484722222223</v>
      </c>
      <c r="I457" s="27">
        <v>40876.53125</v>
      </c>
      <c r="J457" s="9">
        <v>140.28148148148151</v>
      </c>
      <c r="K457" s="28" t="s">
        <v>572</v>
      </c>
    </row>
    <row r="458" spans="2:11" ht="18" customHeight="1" x14ac:dyDescent="0.15">
      <c r="B458" s="48"/>
      <c r="D458" s="23">
        <v>16019</v>
      </c>
      <c r="E458" s="5">
        <v>3786.24</v>
      </c>
      <c r="F458" s="6">
        <v>9</v>
      </c>
      <c r="G458" s="6">
        <v>1733</v>
      </c>
      <c r="H458" s="24">
        <v>40522.520138888889</v>
      </c>
      <c r="I458" s="24">
        <v>40840.493750000001</v>
      </c>
      <c r="J458" s="5">
        <v>420.69333333333338</v>
      </c>
      <c r="K458" s="25" t="s">
        <v>572</v>
      </c>
    </row>
    <row r="459" spans="2:11" ht="18" customHeight="1" x14ac:dyDescent="0.15">
      <c r="B459" s="48"/>
      <c r="D459" s="26">
        <v>12562</v>
      </c>
      <c r="E459" s="9">
        <v>3781.74</v>
      </c>
      <c r="F459" s="10">
        <v>7</v>
      </c>
      <c r="G459" s="10">
        <v>1779</v>
      </c>
      <c r="H459" s="27">
        <v>40688.530555555553</v>
      </c>
      <c r="I459" s="27">
        <v>40878.722222222219</v>
      </c>
      <c r="J459" s="9">
        <v>540.24857142857149</v>
      </c>
      <c r="K459" s="28" t="s">
        <v>572</v>
      </c>
    </row>
    <row r="460" spans="2:11" ht="18" customHeight="1" x14ac:dyDescent="0.15">
      <c r="B460" s="48"/>
      <c r="D460" s="23">
        <v>17173</v>
      </c>
      <c r="E460" s="5">
        <v>3766.6</v>
      </c>
      <c r="F460" s="6">
        <v>8</v>
      </c>
      <c r="G460" s="6">
        <v>1122</v>
      </c>
      <c r="H460" s="24">
        <v>40755.643055555563</v>
      </c>
      <c r="I460" s="24">
        <v>40881.611111111109</v>
      </c>
      <c r="J460" s="5">
        <v>470.82499999999999</v>
      </c>
      <c r="K460" s="25" t="s">
        <v>572</v>
      </c>
    </row>
    <row r="461" spans="2:11" ht="18" customHeight="1" x14ac:dyDescent="0.15">
      <c r="B461" s="48"/>
      <c r="D461" s="26">
        <v>16904</v>
      </c>
      <c r="E461" s="9">
        <v>3754.27</v>
      </c>
      <c r="F461" s="10">
        <v>16</v>
      </c>
      <c r="G461" s="10">
        <v>2034</v>
      </c>
      <c r="H461" s="27">
        <v>40519.561805555553</v>
      </c>
      <c r="I461" s="27">
        <v>40882.548611111109</v>
      </c>
      <c r="J461" s="9">
        <v>234.641875</v>
      </c>
      <c r="K461" s="28" t="s">
        <v>572</v>
      </c>
    </row>
    <row r="462" spans="2:11" ht="18" customHeight="1" x14ac:dyDescent="0.15">
      <c r="B462" s="48"/>
      <c r="D462" s="23">
        <v>12429</v>
      </c>
      <c r="E462" s="5">
        <v>3750.4</v>
      </c>
      <c r="F462" s="6">
        <v>4</v>
      </c>
      <c r="G462" s="6">
        <v>1557</v>
      </c>
      <c r="H462" s="24">
        <v>40521.503472222219</v>
      </c>
      <c r="I462" s="24">
        <v>40877.723611111112</v>
      </c>
      <c r="J462" s="5">
        <v>937.6</v>
      </c>
      <c r="K462" s="25" t="s">
        <v>572</v>
      </c>
    </row>
    <row r="463" spans="2:11" ht="18" customHeight="1" x14ac:dyDescent="0.15">
      <c r="B463" s="48"/>
      <c r="D463" s="26">
        <v>17238</v>
      </c>
      <c r="E463" s="9">
        <v>3744.65</v>
      </c>
      <c r="F463" s="10">
        <v>17</v>
      </c>
      <c r="G463" s="10">
        <v>1822</v>
      </c>
      <c r="H463" s="27">
        <v>40515.628472222219</v>
      </c>
      <c r="I463" s="27">
        <v>40884.482638888891</v>
      </c>
      <c r="J463" s="9">
        <v>220.27352941176471</v>
      </c>
      <c r="K463" s="28" t="s">
        <v>572</v>
      </c>
    </row>
    <row r="464" spans="2:11" ht="18" customHeight="1" x14ac:dyDescent="0.15">
      <c r="B464" s="48"/>
      <c r="D464" s="23">
        <v>14145</v>
      </c>
      <c r="E464" s="5">
        <v>3742.2</v>
      </c>
      <c r="F464" s="6">
        <v>4</v>
      </c>
      <c r="G464" s="6">
        <v>756</v>
      </c>
      <c r="H464" s="24">
        <v>40669.542361111111</v>
      </c>
      <c r="I464" s="24">
        <v>40840.506944444453</v>
      </c>
      <c r="J464" s="5">
        <v>935.55</v>
      </c>
      <c r="K464" s="25" t="s">
        <v>572</v>
      </c>
    </row>
    <row r="465" spans="2:11" ht="18" customHeight="1" x14ac:dyDescent="0.15">
      <c r="B465" s="48"/>
      <c r="D465" s="26">
        <v>13552</v>
      </c>
      <c r="E465" s="9">
        <v>3740.07</v>
      </c>
      <c r="F465" s="10">
        <v>12</v>
      </c>
      <c r="G465" s="10">
        <v>1417</v>
      </c>
      <c r="H465" s="27">
        <v>40571.423611111109</v>
      </c>
      <c r="I465" s="27">
        <v>40820.638194444437</v>
      </c>
      <c r="J465" s="9">
        <v>311.67250000000001</v>
      </c>
      <c r="K465" s="28" t="s">
        <v>572</v>
      </c>
    </row>
    <row r="466" spans="2:11" ht="18" customHeight="1" x14ac:dyDescent="0.15">
      <c r="B466" s="48"/>
      <c r="D466" s="23">
        <v>16570</v>
      </c>
      <c r="E466" s="5">
        <v>3738.4</v>
      </c>
      <c r="F466" s="6">
        <v>10</v>
      </c>
      <c r="G466" s="6">
        <v>2112</v>
      </c>
      <c r="H466" s="24">
        <v>40575.442361111112</v>
      </c>
      <c r="I466" s="24">
        <v>40871.709722222222</v>
      </c>
      <c r="J466" s="5">
        <v>373.84</v>
      </c>
      <c r="K466" s="25" t="s">
        <v>572</v>
      </c>
    </row>
    <row r="467" spans="2:11" ht="18" customHeight="1" x14ac:dyDescent="0.15">
      <c r="B467" s="48"/>
      <c r="D467" s="26">
        <v>15808</v>
      </c>
      <c r="E467" s="9">
        <v>3734.97</v>
      </c>
      <c r="F467" s="10">
        <v>4</v>
      </c>
      <c r="G467" s="10">
        <v>1343</v>
      </c>
      <c r="H467" s="27">
        <v>40517.545138888891</v>
      </c>
      <c r="I467" s="27">
        <v>40580.606249999997</v>
      </c>
      <c r="J467" s="9">
        <v>933.74250000000006</v>
      </c>
      <c r="K467" s="28" t="s">
        <v>572</v>
      </c>
    </row>
    <row r="468" spans="2:11" ht="18" customHeight="1" x14ac:dyDescent="0.15">
      <c r="B468" s="48"/>
      <c r="D468" s="23">
        <v>14282</v>
      </c>
      <c r="E468" s="5">
        <v>3729.34</v>
      </c>
      <c r="F468" s="6">
        <v>15</v>
      </c>
      <c r="G468" s="6">
        <v>2668</v>
      </c>
      <c r="H468" s="24">
        <v>40519.51458333333</v>
      </c>
      <c r="I468" s="24">
        <v>40883.711111111108</v>
      </c>
      <c r="J468" s="5">
        <v>248.6226666666667</v>
      </c>
      <c r="K468" s="25" t="s">
        <v>572</v>
      </c>
    </row>
    <row r="469" spans="2:11" ht="18" customHeight="1" x14ac:dyDescent="0.15">
      <c r="B469" s="48"/>
      <c r="D469" s="26">
        <v>12502</v>
      </c>
      <c r="E469" s="9">
        <v>3723.87</v>
      </c>
      <c r="F469" s="10">
        <v>5</v>
      </c>
      <c r="G469" s="10">
        <v>820</v>
      </c>
      <c r="H469" s="27">
        <v>40577.445138888892</v>
      </c>
      <c r="I469" s="27">
        <v>40791.494444444441</v>
      </c>
      <c r="J469" s="9">
        <v>744.774</v>
      </c>
      <c r="K469" s="28" t="s">
        <v>572</v>
      </c>
    </row>
    <row r="470" spans="2:11" ht="18" customHeight="1" x14ac:dyDescent="0.15">
      <c r="B470" s="48"/>
      <c r="D470" s="23">
        <v>12647</v>
      </c>
      <c r="E470" s="5">
        <v>3722.82</v>
      </c>
      <c r="F470" s="6">
        <v>12</v>
      </c>
      <c r="G470" s="6">
        <v>1431</v>
      </c>
      <c r="H470" s="24">
        <v>40517.584722222222</v>
      </c>
      <c r="I470" s="24">
        <v>40864.538888888892</v>
      </c>
      <c r="J470" s="5">
        <v>310.23500000000001</v>
      </c>
      <c r="K470" s="25" t="s">
        <v>572</v>
      </c>
    </row>
    <row r="471" spans="2:11" ht="18" customHeight="1" x14ac:dyDescent="0.15">
      <c r="B471" s="48"/>
      <c r="D471" s="26">
        <v>13680</v>
      </c>
      <c r="E471" s="9">
        <v>3722.42</v>
      </c>
      <c r="F471" s="10">
        <v>4</v>
      </c>
      <c r="G471" s="10">
        <v>1936</v>
      </c>
      <c r="H471" s="27">
        <v>40547.591666666667</v>
      </c>
      <c r="I471" s="27">
        <v>40885.574305555558</v>
      </c>
      <c r="J471" s="9">
        <v>930.60500000000002</v>
      </c>
      <c r="K471" s="28" t="s">
        <v>572</v>
      </c>
    </row>
    <row r="472" spans="2:11" ht="18" customHeight="1" x14ac:dyDescent="0.15">
      <c r="B472" s="48"/>
      <c r="D472" s="23">
        <v>16240</v>
      </c>
      <c r="E472" s="5">
        <v>3718.8</v>
      </c>
      <c r="F472" s="6">
        <v>2</v>
      </c>
      <c r="G472" s="6">
        <v>1641</v>
      </c>
      <c r="H472" s="24">
        <v>40809.572222222218</v>
      </c>
      <c r="I472" s="24">
        <v>40862.604166666657</v>
      </c>
      <c r="J472" s="5">
        <v>1859.4</v>
      </c>
      <c r="K472" s="25" t="s">
        <v>572</v>
      </c>
    </row>
    <row r="473" spans="2:11" ht="18" customHeight="1" x14ac:dyDescent="0.15">
      <c r="B473" s="48"/>
      <c r="D473" s="26">
        <v>14364</v>
      </c>
      <c r="E473" s="9">
        <v>3717.35</v>
      </c>
      <c r="F473" s="10">
        <v>8</v>
      </c>
      <c r="G473" s="10">
        <v>1967</v>
      </c>
      <c r="H473" s="27">
        <v>40675.538888888892</v>
      </c>
      <c r="I473" s="27">
        <v>40778.459027777782</v>
      </c>
      <c r="J473" s="9">
        <v>464.66874999999999</v>
      </c>
      <c r="K473" s="28" t="s">
        <v>572</v>
      </c>
    </row>
    <row r="474" spans="2:11" ht="18" customHeight="1" x14ac:dyDescent="0.15">
      <c r="B474" s="48"/>
      <c r="D474" s="23">
        <v>15845</v>
      </c>
      <c r="E474" s="5">
        <v>3711.77</v>
      </c>
      <c r="F474" s="6">
        <v>8</v>
      </c>
      <c r="G474" s="6">
        <v>1926</v>
      </c>
      <c r="H474" s="24">
        <v>40549.72152777778</v>
      </c>
      <c r="I474" s="24">
        <v>40869.404166666667</v>
      </c>
      <c r="J474" s="5">
        <v>463.97125</v>
      </c>
      <c r="K474" s="25" t="s">
        <v>572</v>
      </c>
    </row>
    <row r="475" spans="2:11" ht="18" customHeight="1" x14ac:dyDescent="0.15">
      <c r="B475" s="48"/>
      <c r="D475" s="26">
        <v>15622</v>
      </c>
      <c r="E475" s="9">
        <v>3709.56</v>
      </c>
      <c r="F475" s="10">
        <v>9</v>
      </c>
      <c r="G475" s="10">
        <v>1674</v>
      </c>
      <c r="H475" s="27">
        <v>40604.570833333331</v>
      </c>
      <c r="I475" s="27">
        <v>40843.697222222218</v>
      </c>
      <c r="J475" s="9">
        <v>412.17333333333329</v>
      </c>
      <c r="K475" s="28" t="s">
        <v>572</v>
      </c>
    </row>
    <row r="476" spans="2:11" ht="18" customHeight="1" x14ac:dyDescent="0.15">
      <c r="B476" s="48"/>
      <c r="D476" s="23">
        <v>13148</v>
      </c>
      <c r="E476" s="5">
        <v>3707.12</v>
      </c>
      <c r="F476" s="6">
        <v>12</v>
      </c>
      <c r="G476" s="6">
        <v>1975</v>
      </c>
      <c r="H476" s="24">
        <v>40522.54583333333</v>
      </c>
      <c r="I476" s="24">
        <v>40857.640972222223</v>
      </c>
      <c r="J476" s="5">
        <v>308.92666666666668</v>
      </c>
      <c r="K476" s="25" t="s">
        <v>572</v>
      </c>
    </row>
    <row r="477" spans="2:11" ht="18" customHeight="1" x14ac:dyDescent="0.15">
      <c r="B477" s="48"/>
      <c r="D477" s="26">
        <v>17819</v>
      </c>
      <c r="E477" s="9">
        <v>3704.87</v>
      </c>
      <c r="F477" s="10">
        <v>7</v>
      </c>
      <c r="G477" s="10">
        <v>1031</v>
      </c>
      <c r="H477" s="27">
        <v>40515.601388888892</v>
      </c>
      <c r="I477" s="27">
        <v>40815.452777777777</v>
      </c>
      <c r="J477" s="9">
        <v>529.26714285714286</v>
      </c>
      <c r="K477" s="28" t="s">
        <v>572</v>
      </c>
    </row>
    <row r="478" spans="2:11" ht="18" customHeight="1" x14ac:dyDescent="0.15">
      <c r="B478" s="48"/>
      <c r="D478" s="23">
        <v>15379</v>
      </c>
      <c r="E478" s="5">
        <v>3703.29</v>
      </c>
      <c r="F478" s="6">
        <v>7</v>
      </c>
      <c r="G478" s="6">
        <v>2305</v>
      </c>
      <c r="H478" s="24">
        <v>40528.543055555558</v>
      </c>
      <c r="I478" s="24">
        <v>40717.550694444442</v>
      </c>
      <c r="J478" s="5">
        <v>529.04142857142858</v>
      </c>
      <c r="K478" s="25" t="s">
        <v>572</v>
      </c>
    </row>
    <row r="479" spans="2:11" ht="18" customHeight="1" x14ac:dyDescent="0.15">
      <c r="B479" s="48"/>
      <c r="D479" s="26">
        <v>12553</v>
      </c>
      <c r="E479" s="9">
        <v>3692.28</v>
      </c>
      <c r="F479" s="10">
        <v>10</v>
      </c>
      <c r="G479" s="10">
        <v>1965</v>
      </c>
      <c r="H479" s="27">
        <v>40557.445833333331</v>
      </c>
      <c r="I479" s="27">
        <v>40878.693055555559</v>
      </c>
      <c r="J479" s="9">
        <v>369.22800000000001</v>
      </c>
      <c r="K479" s="28" t="s">
        <v>572</v>
      </c>
    </row>
    <row r="480" spans="2:11" ht="18" customHeight="1" x14ac:dyDescent="0.15">
      <c r="B480" s="48"/>
      <c r="D480" s="23">
        <v>16253</v>
      </c>
      <c r="E480" s="5">
        <v>3683.86</v>
      </c>
      <c r="F480" s="6">
        <v>2</v>
      </c>
      <c r="G480" s="6">
        <v>3233</v>
      </c>
      <c r="H480" s="24">
        <v>40631.564583333333</v>
      </c>
      <c r="I480" s="24">
        <v>40820.381249999999</v>
      </c>
      <c r="J480" s="5">
        <v>1841.93</v>
      </c>
      <c r="K480" s="25" t="s">
        <v>572</v>
      </c>
    </row>
    <row r="481" spans="2:11" ht="18" customHeight="1" x14ac:dyDescent="0.15">
      <c r="B481" s="48"/>
      <c r="D481" s="26">
        <v>15581</v>
      </c>
      <c r="E481" s="9">
        <v>3679.97</v>
      </c>
      <c r="F481" s="10">
        <v>13</v>
      </c>
      <c r="G481" s="10">
        <v>286</v>
      </c>
      <c r="H481" s="27">
        <v>40520.609722222223</v>
      </c>
      <c r="I481" s="27">
        <v>40766.401388888888</v>
      </c>
      <c r="J481" s="9">
        <v>283.07461538461541</v>
      </c>
      <c r="K481" s="28" t="s">
        <v>572</v>
      </c>
    </row>
    <row r="482" spans="2:11" ht="18" customHeight="1" x14ac:dyDescent="0.15">
      <c r="B482" s="48"/>
      <c r="D482" s="23">
        <v>15296</v>
      </c>
      <c r="E482" s="5">
        <v>3672.86</v>
      </c>
      <c r="F482" s="6">
        <v>6</v>
      </c>
      <c r="G482" s="6">
        <v>1766</v>
      </c>
      <c r="H482" s="24">
        <v>40560.497916666667</v>
      </c>
      <c r="I482" s="24">
        <v>40836.490972222222</v>
      </c>
      <c r="J482" s="5">
        <v>612.14333333333332</v>
      </c>
      <c r="K482" s="25" t="s">
        <v>572</v>
      </c>
    </row>
    <row r="483" spans="2:11" ht="18" customHeight="1" x14ac:dyDescent="0.15">
      <c r="B483" s="48"/>
      <c r="D483" s="26">
        <v>18079</v>
      </c>
      <c r="E483" s="9">
        <v>3651.97</v>
      </c>
      <c r="F483" s="10">
        <v>4</v>
      </c>
      <c r="G483" s="10">
        <v>7432</v>
      </c>
      <c r="H483" s="27">
        <v>40648.509722222218</v>
      </c>
      <c r="I483" s="27">
        <v>40841.643750000003</v>
      </c>
      <c r="J483" s="9">
        <v>912.99249999999995</v>
      </c>
      <c r="K483" s="28" t="s">
        <v>572</v>
      </c>
    </row>
    <row r="484" spans="2:11" ht="18" customHeight="1" x14ac:dyDescent="0.15">
      <c r="B484" s="48"/>
      <c r="D484" s="23">
        <v>13137</v>
      </c>
      <c r="E484" s="5">
        <v>3650.41</v>
      </c>
      <c r="F484" s="6">
        <v>8</v>
      </c>
      <c r="G484" s="6">
        <v>2226</v>
      </c>
      <c r="H484" s="24">
        <v>40578.495833333327</v>
      </c>
      <c r="I484" s="24">
        <v>40876.506249999999</v>
      </c>
      <c r="J484" s="5">
        <v>456.30124999999998</v>
      </c>
      <c r="K484" s="25" t="s">
        <v>572</v>
      </c>
    </row>
    <row r="485" spans="2:11" ht="18" customHeight="1" x14ac:dyDescent="0.15">
      <c r="B485" s="48"/>
      <c r="D485" s="26">
        <v>12417</v>
      </c>
      <c r="E485" s="9">
        <v>3649.1</v>
      </c>
      <c r="F485" s="10">
        <v>9</v>
      </c>
      <c r="G485" s="10">
        <v>1552</v>
      </c>
      <c r="H485" s="27">
        <v>40529.493750000001</v>
      </c>
      <c r="I485" s="27">
        <v>40883.619444444441</v>
      </c>
      <c r="J485" s="9">
        <v>405.45555555555552</v>
      </c>
      <c r="K485" s="28" t="s">
        <v>572</v>
      </c>
    </row>
    <row r="486" spans="2:11" ht="18" customHeight="1" x14ac:dyDescent="0.15">
      <c r="B486" s="48"/>
      <c r="D486" s="23">
        <v>16712</v>
      </c>
      <c r="E486" s="5">
        <v>3645.43</v>
      </c>
      <c r="F486" s="6">
        <v>11</v>
      </c>
      <c r="G486" s="6">
        <v>1749</v>
      </c>
      <c r="H486" s="24">
        <v>40610.629861111112</v>
      </c>
      <c r="I486" s="24">
        <v>40877.574999999997</v>
      </c>
      <c r="J486" s="5">
        <v>331.40272727272719</v>
      </c>
      <c r="K486" s="25" t="s">
        <v>572</v>
      </c>
    </row>
    <row r="487" spans="2:11" ht="18" customHeight="1" x14ac:dyDescent="0.15">
      <c r="B487" s="48"/>
      <c r="D487" s="26">
        <v>13426</v>
      </c>
      <c r="E487" s="9">
        <v>3641.32</v>
      </c>
      <c r="F487" s="10">
        <v>10</v>
      </c>
      <c r="G487" s="10">
        <v>2245</v>
      </c>
      <c r="H487" s="27">
        <v>40527.529861111107</v>
      </c>
      <c r="I487" s="27">
        <v>40886.374305555553</v>
      </c>
      <c r="J487" s="9">
        <v>364.13200000000001</v>
      </c>
      <c r="K487" s="28" t="s">
        <v>572</v>
      </c>
    </row>
    <row r="488" spans="2:11" ht="18" customHeight="1" x14ac:dyDescent="0.15">
      <c r="B488" s="48"/>
      <c r="D488" s="23">
        <v>12619</v>
      </c>
      <c r="E488" s="5">
        <v>3641.24</v>
      </c>
      <c r="F488" s="6">
        <v>9</v>
      </c>
      <c r="G488" s="6">
        <v>3378</v>
      </c>
      <c r="H488" s="24">
        <v>40633.548611111109</v>
      </c>
      <c r="I488" s="24">
        <v>40870.619444444441</v>
      </c>
      <c r="J488" s="5">
        <v>404.58222222222219</v>
      </c>
      <c r="K488" s="25" t="s">
        <v>572</v>
      </c>
    </row>
    <row r="489" spans="2:11" ht="18" customHeight="1" x14ac:dyDescent="0.15">
      <c r="B489" s="48"/>
      <c r="D489" s="26">
        <v>16440</v>
      </c>
      <c r="E489" s="9">
        <v>3640.67</v>
      </c>
      <c r="F489" s="10">
        <v>5</v>
      </c>
      <c r="G489" s="10">
        <v>2018</v>
      </c>
      <c r="H489" s="27">
        <v>40672.517361111109</v>
      </c>
      <c r="I489" s="27">
        <v>40879.501388888893</v>
      </c>
      <c r="J489" s="9">
        <v>728.13400000000001</v>
      </c>
      <c r="K489" s="28" t="s">
        <v>572</v>
      </c>
    </row>
    <row r="490" spans="2:11" ht="18" customHeight="1" x14ac:dyDescent="0.15">
      <c r="B490" s="48"/>
      <c r="D490" s="23">
        <v>13381</v>
      </c>
      <c r="E490" s="5">
        <v>3639.31</v>
      </c>
      <c r="F490" s="6">
        <v>6</v>
      </c>
      <c r="G490" s="6">
        <v>2029</v>
      </c>
      <c r="H490" s="24">
        <v>40588.423611111109</v>
      </c>
      <c r="I490" s="24">
        <v>40855.498611111107</v>
      </c>
      <c r="J490" s="5">
        <v>606.55166666666662</v>
      </c>
      <c r="K490" s="25" t="s">
        <v>572</v>
      </c>
    </row>
    <row r="491" spans="2:11" ht="18" customHeight="1" x14ac:dyDescent="0.15">
      <c r="B491" s="48"/>
      <c r="D491" s="26">
        <v>17230</v>
      </c>
      <c r="E491" s="9">
        <v>3638.41</v>
      </c>
      <c r="F491" s="10">
        <v>8</v>
      </c>
      <c r="G491" s="10">
        <v>1651</v>
      </c>
      <c r="H491" s="27">
        <v>40527.473611111112</v>
      </c>
      <c r="I491" s="27">
        <v>40622.675000000003</v>
      </c>
      <c r="J491" s="9">
        <v>454.80124999999998</v>
      </c>
      <c r="K491" s="28" t="s">
        <v>572</v>
      </c>
    </row>
    <row r="492" spans="2:11" ht="18" customHeight="1" x14ac:dyDescent="0.15">
      <c r="B492" s="48"/>
      <c r="D492" s="23">
        <v>14543</v>
      </c>
      <c r="E492" s="5">
        <v>3630.33</v>
      </c>
      <c r="F492" s="6">
        <v>16</v>
      </c>
      <c r="G492" s="6">
        <v>679</v>
      </c>
      <c r="H492" s="24">
        <v>40522.493750000001</v>
      </c>
      <c r="I492" s="24">
        <v>40858.53125</v>
      </c>
      <c r="J492" s="5">
        <v>226.895625</v>
      </c>
      <c r="K492" s="25" t="s">
        <v>572</v>
      </c>
    </row>
    <row r="493" spans="2:11" ht="18" customHeight="1" x14ac:dyDescent="0.15">
      <c r="B493" s="48"/>
      <c r="D493" s="26">
        <v>17528</v>
      </c>
      <c r="E493" s="9">
        <v>3628.5</v>
      </c>
      <c r="F493" s="10">
        <v>8</v>
      </c>
      <c r="G493" s="10">
        <v>2138</v>
      </c>
      <c r="H493" s="27">
        <v>40815.544444444437</v>
      </c>
      <c r="I493" s="27">
        <v>40885.560416666667</v>
      </c>
      <c r="J493" s="9">
        <v>453.5625</v>
      </c>
      <c r="K493" s="28" t="s">
        <v>572</v>
      </c>
    </row>
    <row r="494" spans="2:11" ht="18" customHeight="1" x14ac:dyDescent="0.15">
      <c r="B494" s="48"/>
      <c r="D494" s="23">
        <v>13327</v>
      </c>
      <c r="E494" s="5">
        <v>3627.77</v>
      </c>
      <c r="F494" s="6">
        <v>8</v>
      </c>
      <c r="G494" s="6">
        <v>1600</v>
      </c>
      <c r="H494" s="24">
        <v>40521.647222222222</v>
      </c>
      <c r="I494" s="24">
        <v>40848.431250000001</v>
      </c>
      <c r="J494" s="5">
        <v>453.47125</v>
      </c>
      <c r="K494" s="25" t="s">
        <v>572</v>
      </c>
    </row>
    <row r="495" spans="2:11" ht="18" customHeight="1" x14ac:dyDescent="0.15">
      <c r="B495" s="48"/>
      <c r="D495" s="26">
        <v>13520</v>
      </c>
      <c r="E495" s="9">
        <v>3624.35</v>
      </c>
      <c r="F495" s="10">
        <v>6</v>
      </c>
      <c r="G495" s="10">
        <v>1649</v>
      </c>
      <c r="H495" s="27">
        <v>40515.441666666673</v>
      </c>
      <c r="I495" s="27">
        <v>40828.430555555547</v>
      </c>
      <c r="J495" s="9">
        <v>604.05833333333328</v>
      </c>
      <c r="K495" s="28" t="s">
        <v>572</v>
      </c>
    </row>
    <row r="496" spans="2:11" ht="18" customHeight="1" x14ac:dyDescent="0.15">
      <c r="B496" s="48"/>
      <c r="D496" s="23">
        <v>17576</v>
      </c>
      <c r="E496" s="5">
        <v>3622.68</v>
      </c>
      <c r="F496" s="6">
        <v>19</v>
      </c>
      <c r="G496" s="6">
        <v>1994</v>
      </c>
      <c r="H496" s="24">
        <v>40521.706250000003</v>
      </c>
      <c r="I496" s="24">
        <v>40878.74722222222</v>
      </c>
      <c r="J496" s="5">
        <v>190.6673684210526</v>
      </c>
      <c r="K496" s="25" t="s">
        <v>572</v>
      </c>
    </row>
    <row r="497" spans="2:11" ht="18" customHeight="1" x14ac:dyDescent="0.15">
      <c r="B497" s="48"/>
      <c r="D497" s="26">
        <v>14040</v>
      </c>
      <c r="E497" s="9">
        <v>3614.92</v>
      </c>
      <c r="F497" s="10">
        <v>12</v>
      </c>
      <c r="G497" s="10">
        <v>1554</v>
      </c>
      <c r="H497" s="27">
        <v>40555.622916666667</v>
      </c>
      <c r="I497" s="27">
        <v>40846.529166666667</v>
      </c>
      <c r="J497" s="9">
        <v>301.24333333333328</v>
      </c>
      <c r="K497" s="28" t="s">
        <v>572</v>
      </c>
    </row>
    <row r="498" spans="2:11" ht="18" customHeight="1" x14ac:dyDescent="0.15">
      <c r="B498" s="48"/>
      <c r="D498" s="23">
        <v>13082</v>
      </c>
      <c r="E498" s="5">
        <v>3613.63</v>
      </c>
      <c r="F498" s="6">
        <v>9</v>
      </c>
      <c r="G498" s="6">
        <v>4324</v>
      </c>
      <c r="H498" s="24">
        <v>40548.654166666667</v>
      </c>
      <c r="I498" s="24">
        <v>40760.677777777782</v>
      </c>
      <c r="J498" s="5">
        <v>401.51444444444451</v>
      </c>
      <c r="K498" s="25" t="s">
        <v>572</v>
      </c>
    </row>
    <row r="499" spans="2:11" ht="18" customHeight="1" x14ac:dyDescent="0.15">
      <c r="B499" s="48"/>
      <c r="D499" s="26">
        <v>15505</v>
      </c>
      <c r="E499" s="9">
        <v>3610.96</v>
      </c>
      <c r="F499" s="10">
        <v>5</v>
      </c>
      <c r="G499" s="10">
        <v>2390</v>
      </c>
      <c r="H499" s="27">
        <v>40731.564583333333</v>
      </c>
      <c r="I499" s="27">
        <v>40834.330555555563</v>
      </c>
      <c r="J499" s="9">
        <v>722.19200000000001</v>
      </c>
      <c r="K499" s="28" t="s">
        <v>572</v>
      </c>
    </row>
    <row r="500" spans="2:11" ht="18" customHeight="1" x14ac:dyDescent="0.15">
      <c r="B500" s="48"/>
      <c r="D500" s="23">
        <v>15113</v>
      </c>
      <c r="E500" s="5">
        <v>3609.33</v>
      </c>
      <c r="F500" s="6">
        <v>3</v>
      </c>
      <c r="G500" s="6">
        <v>2386</v>
      </c>
      <c r="H500" s="24">
        <v>40832.643750000003</v>
      </c>
      <c r="I500" s="24">
        <v>40877.349305555559</v>
      </c>
      <c r="J500" s="5">
        <v>1203.1099999999999</v>
      </c>
      <c r="K500" s="25" t="s">
        <v>572</v>
      </c>
    </row>
    <row r="501" spans="2:11" ht="18" customHeight="1" x14ac:dyDescent="0.15">
      <c r="B501" s="48"/>
      <c r="D501" s="26">
        <v>16242</v>
      </c>
      <c r="E501" s="9">
        <v>3603.21</v>
      </c>
      <c r="F501" s="10">
        <v>7</v>
      </c>
      <c r="G501" s="10">
        <v>1982</v>
      </c>
      <c r="H501" s="27">
        <v>40609.711111111108</v>
      </c>
      <c r="I501" s="27">
        <v>40878.633333333331</v>
      </c>
      <c r="J501" s="9">
        <v>514.74428571428575</v>
      </c>
      <c r="K501" s="28" t="s">
        <v>572</v>
      </c>
    </row>
    <row r="502" spans="2:11" ht="18" customHeight="1" x14ac:dyDescent="0.15">
      <c r="B502" s="48"/>
      <c r="D502" s="23">
        <v>15484</v>
      </c>
      <c r="E502" s="5">
        <v>3594.31</v>
      </c>
      <c r="F502" s="6">
        <v>4</v>
      </c>
      <c r="G502" s="6">
        <v>3152</v>
      </c>
      <c r="H502" s="24">
        <v>40808.563194444447</v>
      </c>
      <c r="I502" s="24">
        <v>40885.627083333333</v>
      </c>
      <c r="J502" s="5">
        <v>898.57749999999999</v>
      </c>
      <c r="K502" s="25" t="s">
        <v>572</v>
      </c>
    </row>
    <row r="503" spans="2:11" ht="18" customHeight="1" x14ac:dyDescent="0.15">
      <c r="B503" s="48"/>
      <c r="D503" s="26">
        <v>14132</v>
      </c>
      <c r="E503" s="9">
        <v>3586.03</v>
      </c>
      <c r="F503" s="10">
        <v>11</v>
      </c>
      <c r="G503" s="10">
        <v>3368</v>
      </c>
      <c r="H503" s="27">
        <v>40703.50277777778</v>
      </c>
      <c r="I503" s="27">
        <v>40884.565972222219</v>
      </c>
      <c r="J503" s="9">
        <v>326.00272727272733</v>
      </c>
      <c r="K503" s="28" t="s">
        <v>572</v>
      </c>
    </row>
    <row r="504" spans="2:11" ht="18" customHeight="1" x14ac:dyDescent="0.15">
      <c r="B504" s="48"/>
      <c r="D504" s="23">
        <v>17203</v>
      </c>
      <c r="E504" s="5">
        <v>3563.85</v>
      </c>
      <c r="F504" s="6">
        <v>6</v>
      </c>
      <c r="G504" s="6">
        <v>2850</v>
      </c>
      <c r="H504" s="24">
        <v>40826.609027777777</v>
      </c>
      <c r="I504" s="24">
        <v>40851.518750000003</v>
      </c>
      <c r="J504" s="5">
        <v>593.97500000000002</v>
      </c>
      <c r="K504" s="25" t="s">
        <v>572</v>
      </c>
    </row>
    <row r="505" spans="2:11" ht="18" customHeight="1" x14ac:dyDescent="0.15">
      <c r="B505" s="48"/>
      <c r="D505" s="26">
        <v>17491</v>
      </c>
      <c r="E505" s="9">
        <v>3558.87</v>
      </c>
      <c r="F505" s="10">
        <v>10</v>
      </c>
      <c r="G505" s="10">
        <v>2013</v>
      </c>
      <c r="H505" s="27">
        <v>40519.512499999997</v>
      </c>
      <c r="I505" s="27">
        <v>40885.679166666669</v>
      </c>
      <c r="J505" s="9">
        <v>355.887</v>
      </c>
      <c r="K505" s="28" t="s">
        <v>572</v>
      </c>
    </row>
    <row r="506" spans="2:11" ht="18" customHeight="1" x14ac:dyDescent="0.15">
      <c r="B506" s="48"/>
      <c r="D506" s="23">
        <v>15544</v>
      </c>
      <c r="E506" s="5">
        <v>3546.71</v>
      </c>
      <c r="F506" s="6">
        <v>9</v>
      </c>
      <c r="G506" s="6">
        <v>3109</v>
      </c>
      <c r="H506" s="24">
        <v>40514.532638888893</v>
      </c>
      <c r="I506" s="24">
        <v>40877.696527777778</v>
      </c>
      <c r="J506" s="5">
        <v>394.07888888888891</v>
      </c>
      <c r="K506" s="25" t="s">
        <v>572</v>
      </c>
    </row>
    <row r="507" spans="2:11" ht="18" customHeight="1" x14ac:dyDescent="0.15">
      <c r="B507" s="48"/>
      <c r="D507" s="26">
        <v>12370</v>
      </c>
      <c r="E507" s="9">
        <v>3545.69</v>
      </c>
      <c r="F507" s="10">
        <v>4</v>
      </c>
      <c r="G507" s="10">
        <v>2353</v>
      </c>
      <c r="H507" s="27">
        <v>40526.540277777778</v>
      </c>
      <c r="I507" s="27">
        <v>40835.618750000001</v>
      </c>
      <c r="J507" s="9">
        <v>886.42250000000001</v>
      </c>
      <c r="K507" s="28" t="s">
        <v>572</v>
      </c>
    </row>
    <row r="508" spans="2:11" ht="18" customHeight="1" x14ac:dyDescent="0.15">
      <c r="B508" s="48"/>
      <c r="D508" s="23">
        <v>14503</v>
      </c>
      <c r="E508" s="5">
        <v>3543.26</v>
      </c>
      <c r="F508" s="6">
        <v>6</v>
      </c>
      <c r="G508" s="6">
        <v>2004</v>
      </c>
      <c r="H508" s="24">
        <v>40708.416666666657</v>
      </c>
      <c r="I508" s="24">
        <v>40883.5625</v>
      </c>
      <c r="J508" s="5">
        <v>590.54333333333341</v>
      </c>
      <c r="K508" s="25" t="s">
        <v>572</v>
      </c>
    </row>
    <row r="509" spans="2:11" ht="18" customHeight="1" x14ac:dyDescent="0.15">
      <c r="B509" s="48"/>
      <c r="D509" s="26">
        <v>13448</v>
      </c>
      <c r="E509" s="9">
        <v>3539.37</v>
      </c>
      <c r="F509" s="10">
        <v>6</v>
      </c>
      <c r="G509" s="10">
        <v>1660</v>
      </c>
      <c r="H509" s="27">
        <v>40513.452777777777</v>
      </c>
      <c r="I509" s="27">
        <v>40870.522916666669</v>
      </c>
      <c r="J509" s="9">
        <v>589.89499999999998</v>
      </c>
      <c r="K509" s="28" t="s">
        <v>572</v>
      </c>
    </row>
    <row r="510" spans="2:11" ht="18" customHeight="1" x14ac:dyDescent="0.15">
      <c r="B510" s="48"/>
      <c r="D510" s="23">
        <v>13334</v>
      </c>
      <c r="E510" s="5">
        <v>3536.82</v>
      </c>
      <c r="F510" s="6">
        <v>3</v>
      </c>
      <c r="G510" s="6">
        <v>1774</v>
      </c>
      <c r="H510" s="24">
        <v>40581.487500000003</v>
      </c>
      <c r="I510" s="24">
        <v>40804.63958333333</v>
      </c>
      <c r="J510" s="5">
        <v>1178.94</v>
      </c>
      <c r="K510" s="25" t="s">
        <v>572</v>
      </c>
    </row>
    <row r="511" spans="2:11" ht="18" customHeight="1" x14ac:dyDescent="0.15">
      <c r="B511" s="48"/>
      <c r="D511" s="26">
        <v>12454</v>
      </c>
      <c r="E511" s="9">
        <v>3528.34</v>
      </c>
      <c r="F511" s="10">
        <v>1</v>
      </c>
      <c r="G511" s="10">
        <v>1006</v>
      </c>
      <c r="H511" s="27">
        <v>40830.717361111107</v>
      </c>
      <c r="I511" s="27">
        <v>40830.717361111107</v>
      </c>
      <c r="J511" s="9">
        <v>3528.34</v>
      </c>
      <c r="K511" s="28" t="s">
        <v>573</v>
      </c>
    </row>
    <row r="512" spans="2:11" ht="18" customHeight="1" x14ac:dyDescent="0.15">
      <c r="B512" s="48"/>
      <c r="D512" s="23">
        <v>17160</v>
      </c>
      <c r="E512" s="5">
        <v>3518.03</v>
      </c>
      <c r="F512" s="6">
        <v>6</v>
      </c>
      <c r="G512" s="6">
        <v>2856</v>
      </c>
      <c r="H512" s="24">
        <v>40645.5</v>
      </c>
      <c r="I512" s="24">
        <v>40855.586805555547</v>
      </c>
      <c r="J512" s="5">
        <v>586.33833333333337</v>
      </c>
      <c r="K512" s="25" t="s">
        <v>572</v>
      </c>
    </row>
    <row r="513" spans="2:11" ht="18" customHeight="1" x14ac:dyDescent="0.15">
      <c r="B513" s="48"/>
      <c r="D513" s="26">
        <v>13953</v>
      </c>
      <c r="E513" s="9">
        <v>3515.68</v>
      </c>
      <c r="F513" s="10">
        <v>7</v>
      </c>
      <c r="G513" s="10">
        <v>2724</v>
      </c>
      <c r="H513" s="27">
        <v>40534.436805555553</v>
      </c>
      <c r="I513" s="27">
        <v>40879.669444444437</v>
      </c>
      <c r="J513" s="9">
        <v>502.24</v>
      </c>
      <c r="K513" s="28" t="s">
        <v>572</v>
      </c>
    </row>
    <row r="514" spans="2:11" ht="18" customHeight="1" x14ac:dyDescent="0.15">
      <c r="B514" s="48"/>
      <c r="D514" s="23">
        <v>16360</v>
      </c>
      <c r="E514" s="5">
        <v>3512.53</v>
      </c>
      <c r="F514" s="6">
        <v>6</v>
      </c>
      <c r="G514" s="6">
        <v>2144</v>
      </c>
      <c r="H514" s="24">
        <v>40798.576388888891</v>
      </c>
      <c r="I514" s="24">
        <v>40882.511111111111</v>
      </c>
      <c r="J514" s="5">
        <v>585.42166666666674</v>
      </c>
      <c r="K514" s="25" t="s">
        <v>572</v>
      </c>
    </row>
    <row r="515" spans="2:11" ht="18" customHeight="1" x14ac:dyDescent="0.15">
      <c r="B515" s="48"/>
      <c r="D515" s="26">
        <v>14395</v>
      </c>
      <c r="E515" s="9">
        <v>3507.71</v>
      </c>
      <c r="F515" s="10">
        <v>9</v>
      </c>
      <c r="G515" s="10">
        <v>1693</v>
      </c>
      <c r="H515" s="27">
        <v>40514.760416666657</v>
      </c>
      <c r="I515" s="27">
        <v>40884.606944444437</v>
      </c>
      <c r="J515" s="9">
        <v>389.74555555555548</v>
      </c>
      <c r="K515" s="28" t="s">
        <v>572</v>
      </c>
    </row>
    <row r="516" spans="2:11" ht="18" customHeight="1" x14ac:dyDescent="0.15">
      <c r="B516" s="48"/>
      <c r="D516" s="23">
        <v>16131</v>
      </c>
      <c r="E516" s="5">
        <v>3506.54</v>
      </c>
      <c r="F516" s="6">
        <v>6</v>
      </c>
      <c r="G516" s="6">
        <v>1802</v>
      </c>
      <c r="H516" s="24">
        <v>40647.355555555558</v>
      </c>
      <c r="I516" s="24">
        <v>40835.495138888888</v>
      </c>
      <c r="J516" s="5">
        <v>584.42333333333329</v>
      </c>
      <c r="K516" s="25" t="s">
        <v>572</v>
      </c>
    </row>
    <row r="517" spans="2:11" ht="18" customHeight="1" x14ac:dyDescent="0.15">
      <c r="B517" s="48"/>
      <c r="D517" s="26">
        <v>14907</v>
      </c>
      <c r="E517" s="9">
        <v>3501.1</v>
      </c>
      <c r="F517" s="10">
        <v>7</v>
      </c>
      <c r="G517" s="10">
        <v>1691</v>
      </c>
      <c r="H517" s="27">
        <v>40519.426388888889</v>
      </c>
      <c r="I517" s="27">
        <v>40883.593055555553</v>
      </c>
      <c r="J517" s="9">
        <v>500.15714285714279</v>
      </c>
      <c r="K517" s="28" t="s">
        <v>572</v>
      </c>
    </row>
    <row r="518" spans="2:11" ht="18" customHeight="1" x14ac:dyDescent="0.15">
      <c r="B518" s="48"/>
      <c r="D518" s="23">
        <v>16458</v>
      </c>
      <c r="E518" s="5">
        <v>3482.74</v>
      </c>
      <c r="F518" s="6">
        <v>18</v>
      </c>
      <c r="G518" s="6">
        <v>2154</v>
      </c>
      <c r="H518" s="24">
        <v>40526.493750000001</v>
      </c>
      <c r="I518" s="24">
        <v>40884.398611111108</v>
      </c>
      <c r="J518" s="5">
        <v>193.48555555555561</v>
      </c>
      <c r="K518" s="25" t="s">
        <v>572</v>
      </c>
    </row>
    <row r="519" spans="2:11" ht="18" customHeight="1" x14ac:dyDescent="0.15">
      <c r="B519" s="48"/>
      <c r="D519" s="26">
        <v>13993</v>
      </c>
      <c r="E519" s="9">
        <v>3466.36</v>
      </c>
      <c r="F519" s="10">
        <v>9</v>
      </c>
      <c r="G519" s="10">
        <v>900</v>
      </c>
      <c r="H519" s="27">
        <v>40556.446527777778</v>
      </c>
      <c r="I519" s="27">
        <v>40844.379166666673</v>
      </c>
      <c r="J519" s="9">
        <v>385.15111111111111</v>
      </c>
      <c r="K519" s="28" t="s">
        <v>572</v>
      </c>
    </row>
    <row r="520" spans="2:11" ht="18" customHeight="1" x14ac:dyDescent="0.15">
      <c r="B520" s="48"/>
      <c r="D520" s="23">
        <v>13014</v>
      </c>
      <c r="E520" s="5">
        <v>3466.28</v>
      </c>
      <c r="F520" s="6">
        <v>10</v>
      </c>
      <c r="G520" s="6">
        <v>905</v>
      </c>
      <c r="H520" s="24">
        <v>40605.769444444442</v>
      </c>
      <c r="I520" s="24">
        <v>40876.518750000003</v>
      </c>
      <c r="J520" s="5">
        <v>346.62799999999999</v>
      </c>
      <c r="K520" s="25" t="s">
        <v>572</v>
      </c>
    </row>
    <row r="521" spans="2:11" ht="18" customHeight="1" x14ac:dyDescent="0.15">
      <c r="B521" s="48"/>
      <c r="D521" s="26">
        <v>17758</v>
      </c>
      <c r="E521" s="9">
        <v>3456.7</v>
      </c>
      <c r="F521" s="10">
        <v>8</v>
      </c>
      <c r="G521" s="10">
        <v>2091</v>
      </c>
      <c r="H521" s="27">
        <v>40636.640277777777</v>
      </c>
      <c r="I521" s="27">
        <v>40867.614583333343</v>
      </c>
      <c r="J521" s="9">
        <v>432.08749999999998</v>
      </c>
      <c r="K521" s="28" t="s">
        <v>572</v>
      </c>
    </row>
    <row r="522" spans="2:11" ht="18" customHeight="1" x14ac:dyDescent="0.15">
      <c r="B522" s="48"/>
      <c r="D522" s="23">
        <v>15410</v>
      </c>
      <c r="E522" s="5">
        <v>3450.84</v>
      </c>
      <c r="F522" s="6">
        <v>8</v>
      </c>
      <c r="G522" s="6">
        <v>1200</v>
      </c>
      <c r="H522" s="24">
        <v>40625.427083333343</v>
      </c>
      <c r="I522" s="24">
        <v>40802.615972222222</v>
      </c>
      <c r="J522" s="5">
        <v>431.35500000000002</v>
      </c>
      <c r="K522" s="25" t="s">
        <v>572</v>
      </c>
    </row>
    <row r="523" spans="2:11" ht="18" customHeight="1" x14ac:dyDescent="0.15">
      <c r="B523" s="48"/>
      <c r="D523" s="26">
        <v>13536</v>
      </c>
      <c r="E523" s="9">
        <v>3448.29</v>
      </c>
      <c r="F523" s="10">
        <v>7</v>
      </c>
      <c r="G523" s="10">
        <v>2136</v>
      </c>
      <c r="H523" s="27">
        <v>40811.5625</v>
      </c>
      <c r="I523" s="27">
        <v>40885.693055555559</v>
      </c>
      <c r="J523" s="9">
        <v>492.61285714285708</v>
      </c>
      <c r="K523" s="28" t="s">
        <v>572</v>
      </c>
    </row>
    <row r="524" spans="2:11" ht="18" customHeight="1" x14ac:dyDescent="0.15">
      <c r="B524" s="48"/>
      <c r="D524" s="23">
        <v>15129</v>
      </c>
      <c r="E524" s="5">
        <v>3447.4</v>
      </c>
      <c r="F524" s="6">
        <v>11</v>
      </c>
      <c r="G524" s="6">
        <v>1794</v>
      </c>
      <c r="H524" s="24">
        <v>40595.381249999999</v>
      </c>
      <c r="I524" s="24">
        <v>40836.611111111109</v>
      </c>
      <c r="J524" s="5">
        <v>313.39999999999998</v>
      </c>
      <c r="K524" s="25" t="s">
        <v>572</v>
      </c>
    </row>
    <row r="525" spans="2:11" ht="18" customHeight="1" x14ac:dyDescent="0.15">
      <c r="B525" s="48"/>
      <c r="D525" s="26">
        <v>15974</v>
      </c>
      <c r="E525" s="9">
        <v>3442.15</v>
      </c>
      <c r="F525" s="10">
        <v>7</v>
      </c>
      <c r="G525" s="10">
        <v>2262</v>
      </c>
      <c r="H525" s="27">
        <v>40598.423611111109</v>
      </c>
      <c r="I525" s="27">
        <v>40847.550694444442</v>
      </c>
      <c r="J525" s="9">
        <v>491.73571428571432</v>
      </c>
      <c r="K525" s="28" t="s">
        <v>572</v>
      </c>
    </row>
    <row r="526" spans="2:11" ht="18" customHeight="1" x14ac:dyDescent="0.15">
      <c r="B526" s="48"/>
      <c r="D526" s="23">
        <v>17725</v>
      </c>
      <c r="E526" s="5">
        <v>3439.08</v>
      </c>
      <c r="F526" s="6">
        <v>11</v>
      </c>
      <c r="G526" s="6">
        <v>2162</v>
      </c>
      <c r="H526" s="24">
        <v>40619.824305555558</v>
      </c>
      <c r="I526" s="24">
        <v>40870.69027777778</v>
      </c>
      <c r="J526" s="5">
        <v>312.64363636363629</v>
      </c>
      <c r="K526" s="25" t="s">
        <v>572</v>
      </c>
    </row>
    <row r="527" spans="2:11" ht="18" customHeight="1" x14ac:dyDescent="0.15">
      <c r="B527" s="48"/>
      <c r="D527" s="26">
        <v>15676</v>
      </c>
      <c r="E527" s="9">
        <v>3435.76</v>
      </c>
      <c r="F527" s="10">
        <v>3</v>
      </c>
      <c r="G527" s="10">
        <v>2252</v>
      </c>
      <c r="H527" s="27">
        <v>40603.429861111108</v>
      </c>
      <c r="I527" s="27">
        <v>40868.527777777781</v>
      </c>
      <c r="J527" s="9">
        <v>1145.2533333333331</v>
      </c>
      <c r="K527" s="28" t="s">
        <v>572</v>
      </c>
    </row>
    <row r="528" spans="2:11" ht="18" customHeight="1" x14ac:dyDescent="0.15">
      <c r="B528" s="48"/>
      <c r="D528" s="23">
        <v>14221</v>
      </c>
      <c r="E528" s="5">
        <v>3432.8</v>
      </c>
      <c r="F528" s="6">
        <v>9</v>
      </c>
      <c r="G528" s="6">
        <v>2191</v>
      </c>
      <c r="H528" s="24">
        <v>40547.647916666669</v>
      </c>
      <c r="I528" s="24">
        <v>40844.570833333331</v>
      </c>
      <c r="J528" s="5">
        <v>381.42222222222222</v>
      </c>
      <c r="K528" s="25" t="s">
        <v>572</v>
      </c>
    </row>
    <row r="529" spans="2:11" ht="18" customHeight="1" x14ac:dyDescent="0.15">
      <c r="B529" s="48"/>
      <c r="D529" s="26">
        <v>12406</v>
      </c>
      <c r="E529" s="9">
        <v>3415.3</v>
      </c>
      <c r="F529" s="10">
        <v>2</v>
      </c>
      <c r="G529" s="10">
        <v>1818</v>
      </c>
      <c r="H529" s="27">
        <v>40703.432638888888</v>
      </c>
      <c r="I529" s="27">
        <v>40864.806944444441</v>
      </c>
      <c r="J529" s="9">
        <v>1707.65</v>
      </c>
      <c r="K529" s="28" t="s">
        <v>572</v>
      </c>
    </row>
    <row r="530" spans="2:11" ht="18" customHeight="1" x14ac:dyDescent="0.15">
      <c r="B530" s="48"/>
      <c r="D530" s="23">
        <v>15981</v>
      </c>
      <c r="E530" s="5">
        <v>3408.48</v>
      </c>
      <c r="F530" s="6">
        <v>8</v>
      </c>
      <c r="G530" s="6">
        <v>1866</v>
      </c>
      <c r="H530" s="24">
        <v>40575.576388888891</v>
      </c>
      <c r="I530" s="24">
        <v>40862.333333333343</v>
      </c>
      <c r="J530" s="5">
        <v>426.06</v>
      </c>
      <c r="K530" s="25" t="s">
        <v>572</v>
      </c>
    </row>
    <row r="531" spans="2:11" ht="18" customHeight="1" x14ac:dyDescent="0.15">
      <c r="B531" s="48"/>
      <c r="D531" s="26">
        <v>13437</v>
      </c>
      <c r="E531" s="9">
        <v>3408.06</v>
      </c>
      <c r="F531" s="10">
        <v>7</v>
      </c>
      <c r="G531" s="10">
        <v>1283</v>
      </c>
      <c r="H531" s="27">
        <v>40696.604166666657</v>
      </c>
      <c r="I531" s="27">
        <v>40872.583333333343</v>
      </c>
      <c r="J531" s="9">
        <v>486.86571428571432</v>
      </c>
      <c r="K531" s="28" t="s">
        <v>572</v>
      </c>
    </row>
    <row r="532" spans="2:11" ht="18" customHeight="1" x14ac:dyDescent="0.15">
      <c r="B532" s="48"/>
      <c r="D532" s="23">
        <v>17669</v>
      </c>
      <c r="E532" s="5">
        <v>3406.72</v>
      </c>
      <c r="F532" s="6">
        <v>7</v>
      </c>
      <c r="G532" s="6">
        <v>1916</v>
      </c>
      <c r="H532" s="24">
        <v>40637.424305555563</v>
      </c>
      <c r="I532" s="24">
        <v>40844.370138888888</v>
      </c>
      <c r="J532" s="5">
        <v>486.67428571428582</v>
      </c>
      <c r="K532" s="25" t="s">
        <v>572</v>
      </c>
    </row>
    <row r="533" spans="2:11" ht="18" customHeight="1" x14ac:dyDescent="0.15">
      <c r="B533" s="48"/>
      <c r="D533" s="26">
        <v>13198</v>
      </c>
      <c r="E533" s="9">
        <v>3401.24</v>
      </c>
      <c r="F533" s="10">
        <v>6</v>
      </c>
      <c r="G533" s="10">
        <v>2648</v>
      </c>
      <c r="H533" s="27">
        <v>40525.395138888889</v>
      </c>
      <c r="I533" s="27">
        <v>40876.636805555558</v>
      </c>
      <c r="J533" s="9">
        <v>566.87333333333333</v>
      </c>
      <c r="K533" s="28" t="s">
        <v>572</v>
      </c>
    </row>
    <row r="534" spans="2:11" ht="18" customHeight="1" x14ac:dyDescent="0.15">
      <c r="B534" s="48"/>
      <c r="D534" s="23">
        <v>15228</v>
      </c>
      <c r="E534" s="5">
        <v>3386.71</v>
      </c>
      <c r="F534" s="6">
        <v>4</v>
      </c>
      <c r="G534" s="6">
        <v>2255</v>
      </c>
      <c r="H534" s="24">
        <v>40592.37777777778</v>
      </c>
      <c r="I534" s="24">
        <v>40820.580555555563</v>
      </c>
      <c r="J534" s="5">
        <v>846.67750000000001</v>
      </c>
      <c r="K534" s="25" t="s">
        <v>572</v>
      </c>
    </row>
    <row r="535" spans="2:11" ht="18" customHeight="1" x14ac:dyDescent="0.15">
      <c r="B535" s="48"/>
      <c r="D535" s="26">
        <v>13842</v>
      </c>
      <c r="E535" s="9">
        <v>3385.62</v>
      </c>
      <c r="F535" s="10">
        <v>9</v>
      </c>
      <c r="G535" s="10">
        <v>1768</v>
      </c>
      <c r="H535" s="27">
        <v>40520.443749999999</v>
      </c>
      <c r="I535" s="27">
        <v>40828.45208333333</v>
      </c>
      <c r="J535" s="9">
        <v>376.18</v>
      </c>
      <c r="K535" s="28" t="s">
        <v>572</v>
      </c>
    </row>
    <row r="536" spans="2:11" ht="18" customHeight="1" x14ac:dyDescent="0.15">
      <c r="B536" s="48"/>
      <c r="D536" s="23">
        <v>15708</v>
      </c>
      <c r="E536" s="5">
        <v>3364.24</v>
      </c>
      <c r="F536" s="6">
        <v>7</v>
      </c>
      <c r="G536" s="6">
        <v>1267</v>
      </c>
      <c r="H536" s="24">
        <v>40517.466666666667</v>
      </c>
      <c r="I536" s="24">
        <v>40846.45416666667</v>
      </c>
      <c r="J536" s="5">
        <v>480.60571428571433</v>
      </c>
      <c r="K536" s="25" t="s">
        <v>572</v>
      </c>
    </row>
    <row r="537" spans="2:11" ht="18" customHeight="1" x14ac:dyDescent="0.15">
      <c r="B537" s="48"/>
      <c r="D537" s="26">
        <v>16011</v>
      </c>
      <c r="E537" s="9">
        <v>3362.71</v>
      </c>
      <c r="F537" s="10">
        <v>16</v>
      </c>
      <c r="G537" s="10">
        <v>2042</v>
      </c>
      <c r="H537" s="27">
        <v>40520.69027777778</v>
      </c>
      <c r="I537" s="27">
        <v>40878.688194444447</v>
      </c>
      <c r="J537" s="9">
        <v>210.169375</v>
      </c>
      <c r="K537" s="28" t="s">
        <v>572</v>
      </c>
    </row>
    <row r="538" spans="2:11" ht="18" customHeight="1" x14ac:dyDescent="0.15">
      <c r="B538" s="48"/>
      <c r="D538" s="23">
        <v>14227</v>
      </c>
      <c r="E538" s="5">
        <v>3350.96</v>
      </c>
      <c r="F538" s="6">
        <v>10</v>
      </c>
      <c r="G538" s="6">
        <v>1820</v>
      </c>
      <c r="H538" s="24">
        <v>40602.518750000003</v>
      </c>
      <c r="I538" s="24">
        <v>40860.658333333333</v>
      </c>
      <c r="J538" s="5">
        <v>335.096</v>
      </c>
      <c r="K538" s="25" t="s">
        <v>572</v>
      </c>
    </row>
    <row r="539" spans="2:11" ht="18" customHeight="1" x14ac:dyDescent="0.15">
      <c r="B539" s="48"/>
      <c r="D539" s="26">
        <v>16818</v>
      </c>
      <c r="E539" s="9">
        <v>3349.57</v>
      </c>
      <c r="F539" s="10">
        <v>11</v>
      </c>
      <c r="G539" s="10">
        <v>2164</v>
      </c>
      <c r="H539" s="27">
        <v>40681.487500000003</v>
      </c>
      <c r="I539" s="27">
        <v>40876.445138888892</v>
      </c>
      <c r="J539" s="9">
        <v>304.50636363636357</v>
      </c>
      <c r="K539" s="28" t="s">
        <v>572</v>
      </c>
    </row>
    <row r="540" spans="2:11" ht="18" customHeight="1" x14ac:dyDescent="0.15">
      <c r="B540" s="48"/>
      <c r="D540" s="23">
        <v>16607</v>
      </c>
      <c r="E540" s="5">
        <v>3347.71</v>
      </c>
      <c r="F540" s="6">
        <v>14</v>
      </c>
      <c r="G540" s="6">
        <v>2859</v>
      </c>
      <c r="H540" s="24">
        <v>40528.361805555563</v>
      </c>
      <c r="I540" s="24">
        <v>40869.433333333327</v>
      </c>
      <c r="J540" s="5">
        <v>239.12214285714279</v>
      </c>
      <c r="K540" s="25" t="s">
        <v>572</v>
      </c>
    </row>
    <row r="541" spans="2:11" ht="18" customHeight="1" x14ac:dyDescent="0.15">
      <c r="B541" s="48"/>
      <c r="D541" s="26">
        <v>17183</v>
      </c>
      <c r="E541" s="9">
        <v>3347.31</v>
      </c>
      <c r="F541" s="10">
        <v>6</v>
      </c>
      <c r="G541" s="10">
        <v>1296</v>
      </c>
      <c r="H541" s="27">
        <v>40781.642361111109</v>
      </c>
      <c r="I541" s="27">
        <v>40879.421527777777</v>
      </c>
      <c r="J541" s="9">
        <v>557.88499999999999</v>
      </c>
      <c r="K541" s="28" t="s">
        <v>572</v>
      </c>
    </row>
    <row r="542" spans="2:11" ht="18" customHeight="1" x14ac:dyDescent="0.15">
      <c r="B542" s="48"/>
      <c r="D542" s="23">
        <v>13015</v>
      </c>
      <c r="E542" s="5">
        <v>3346.28</v>
      </c>
      <c r="F542" s="6">
        <v>5</v>
      </c>
      <c r="G542" s="6">
        <v>1617</v>
      </c>
      <c r="H542" s="24">
        <v>40637.602777777778</v>
      </c>
      <c r="I542" s="24">
        <v>40833.554861111108</v>
      </c>
      <c r="J542" s="5">
        <v>669.25600000000009</v>
      </c>
      <c r="K542" s="25" t="s">
        <v>572</v>
      </c>
    </row>
    <row r="543" spans="2:11" ht="18" customHeight="1" x14ac:dyDescent="0.15">
      <c r="B543" s="48"/>
      <c r="D543" s="26">
        <v>12643</v>
      </c>
      <c r="E543" s="9">
        <v>3344.64</v>
      </c>
      <c r="F543" s="10">
        <v>6</v>
      </c>
      <c r="G543" s="10">
        <v>1808</v>
      </c>
      <c r="H543" s="27">
        <v>40554.491666666669</v>
      </c>
      <c r="I543" s="27">
        <v>40758.538888888892</v>
      </c>
      <c r="J543" s="9">
        <v>557.43999999999994</v>
      </c>
      <c r="K543" s="28" t="s">
        <v>572</v>
      </c>
    </row>
    <row r="544" spans="2:11" ht="18" customHeight="1" x14ac:dyDescent="0.15">
      <c r="B544" s="48"/>
      <c r="D544" s="23">
        <v>12613</v>
      </c>
      <c r="E544" s="5">
        <v>3344.38</v>
      </c>
      <c r="F544" s="6">
        <v>5</v>
      </c>
      <c r="G544" s="6">
        <v>1644</v>
      </c>
      <c r="H544" s="24">
        <v>40624.654166666667</v>
      </c>
      <c r="I544" s="24">
        <v>40829.624305555553</v>
      </c>
      <c r="J544" s="5">
        <v>668.87599999999998</v>
      </c>
      <c r="K544" s="25" t="s">
        <v>572</v>
      </c>
    </row>
    <row r="545" spans="2:15" ht="18" customHeight="1" x14ac:dyDescent="0.15">
      <c r="B545" s="48"/>
      <c r="D545" s="26">
        <v>12594</v>
      </c>
      <c r="E545" s="9">
        <v>3338.22</v>
      </c>
      <c r="F545" s="10">
        <v>10</v>
      </c>
      <c r="G545" s="10">
        <v>1777</v>
      </c>
      <c r="H545" s="27">
        <v>40564.411111111112</v>
      </c>
      <c r="I545" s="27">
        <v>40849.513888888891</v>
      </c>
      <c r="J545" s="9">
        <v>333.822</v>
      </c>
      <c r="K545" s="28" t="s">
        <v>572</v>
      </c>
    </row>
    <row r="546" spans="2:15" ht="18" customHeight="1" x14ac:dyDescent="0.15">
      <c r="B546" s="48"/>
      <c r="D546" s="23">
        <v>16556</v>
      </c>
      <c r="E546" s="5">
        <v>3313.79</v>
      </c>
      <c r="F546" s="6">
        <v>7</v>
      </c>
      <c r="G546" s="6">
        <v>1890</v>
      </c>
      <c r="H546" s="24">
        <v>40526.563888888893</v>
      </c>
      <c r="I546" s="24">
        <v>40820.48333333333</v>
      </c>
      <c r="J546" s="5">
        <v>473.39857142857142</v>
      </c>
      <c r="K546" s="25" t="s">
        <v>572</v>
      </c>
    </row>
    <row r="547" spans="2:15" ht="18" customHeight="1" x14ac:dyDescent="0.15">
      <c r="B547" s="48"/>
      <c r="D547" s="26">
        <v>13373</v>
      </c>
      <c r="E547" s="9">
        <v>3312.25</v>
      </c>
      <c r="F547" s="10">
        <v>3</v>
      </c>
      <c r="G547" s="10">
        <v>1651</v>
      </c>
      <c r="H547" s="27">
        <v>40610.607638888891</v>
      </c>
      <c r="I547" s="27">
        <v>40826.45208333333</v>
      </c>
      <c r="J547" s="9">
        <v>1104.083333333333</v>
      </c>
      <c r="K547" s="28" t="s">
        <v>572</v>
      </c>
    </row>
    <row r="548" spans="2:15" ht="18" customHeight="1" x14ac:dyDescent="0.15">
      <c r="B548" s="48"/>
      <c r="D548" s="23">
        <v>14841</v>
      </c>
      <c r="E548" s="5">
        <v>3295.76</v>
      </c>
      <c r="F548" s="6">
        <v>6</v>
      </c>
      <c r="G548" s="6">
        <v>1778</v>
      </c>
      <c r="H548" s="24">
        <v>40528.436111111107</v>
      </c>
      <c r="I548" s="24">
        <v>40833.627083333333</v>
      </c>
      <c r="J548" s="5">
        <v>549.29333333333341</v>
      </c>
      <c r="K548" s="25" t="s">
        <v>572</v>
      </c>
    </row>
    <row r="549" spans="2:15" ht="18" customHeight="1" x14ac:dyDescent="0.15">
      <c r="B549" s="48"/>
      <c r="D549" s="26">
        <v>14702</v>
      </c>
      <c r="E549" s="9">
        <v>3292.14</v>
      </c>
      <c r="F549" s="10">
        <v>17</v>
      </c>
      <c r="G549" s="10">
        <v>1454</v>
      </c>
      <c r="H549" s="27">
        <v>40521.807638888888</v>
      </c>
      <c r="I549" s="27">
        <v>40885.811805555553</v>
      </c>
      <c r="J549" s="9">
        <v>193.65529411764709</v>
      </c>
      <c r="K549" s="28" t="s">
        <v>572</v>
      </c>
    </row>
    <row r="550" spans="2:15" ht="18" customHeight="1" x14ac:dyDescent="0.15">
      <c r="B550" s="48"/>
      <c r="D550" s="23">
        <v>15632</v>
      </c>
      <c r="E550" s="5">
        <v>3285.31</v>
      </c>
      <c r="F550" s="6">
        <v>8</v>
      </c>
      <c r="G550" s="6">
        <v>2109</v>
      </c>
      <c r="H550" s="24">
        <v>40612.353472222218</v>
      </c>
      <c r="I550" s="24">
        <v>40871.410416666673</v>
      </c>
      <c r="J550" s="5">
        <v>410.66374999999999</v>
      </c>
      <c r="K550" s="25" t="s">
        <v>572</v>
      </c>
    </row>
    <row r="551" spans="2:15" ht="18" customHeight="1" x14ac:dyDescent="0.15">
      <c r="B551" s="48"/>
      <c r="D551" s="26">
        <v>12480</v>
      </c>
      <c r="E551" s="9">
        <v>3281.63</v>
      </c>
      <c r="F551" s="10">
        <v>4</v>
      </c>
      <c r="G551" s="10">
        <v>1707</v>
      </c>
      <c r="H551" s="27">
        <v>40550.643750000003</v>
      </c>
      <c r="I551" s="27">
        <v>40858.619444444441</v>
      </c>
      <c r="J551" s="9">
        <v>820.40750000000003</v>
      </c>
      <c r="K551" s="28" t="s">
        <v>572</v>
      </c>
    </row>
    <row r="552" spans="2:15" ht="18" customHeight="1" x14ac:dyDescent="0.15">
      <c r="B552" s="48"/>
    </row>
    <row r="553" spans="2:15" ht="14" x14ac:dyDescent="0.15">
      <c r="B553" s="48"/>
      <c r="D553" s="84" t="s">
        <v>575</v>
      </c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</row>
    <row r="554" spans="2:15" ht="18" customHeight="1" x14ac:dyDescent="0.15"/>
  </sheetData>
  <mergeCells count="29">
    <mergeCell ref="E11:O11"/>
    <mergeCell ref="J4:K4"/>
    <mergeCell ref="E13:O13"/>
    <mergeCell ref="D15:O15"/>
    <mergeCell ref="D553:O553"/>
    <mergeCell ref="L7:M7"/>
    <mergeCell ref="E12:O12"/>
    <mergeCell ref="N7:O7"/>
    <mergeCell ref="F7:G7"/>
    <mergeCell ref="D50:O50"/>
    <mergeCell ref="M55:O55"/>
    <mergeCell ref="E10:O10"/>
    <mergeCell ref="D7:E7"/>
    <mergeCell ref="D9:O9"/>
    <mergeCell ref="H7:I7"/>
    <mergeCell ref="J7:K7"/>
    <mergeCell ref="D1:O2"/>
    <mergeCell ref="L5:M6"/>
    <mergeCell ref="F4:G4"/>
    <mergeCell ref="N5:O6"/>
    <mergeCell ref="B1:B2"/>
    <mergeCell ref="L4:M4"/>
    <mergeCell ref="N4:O4"/>
    <mergeCell ref="D5:E6"/>
    <mergeCell ref="F5:G6"/>
    <mergeCell ref="H5:I6"/>
    <mergeCell ref="J5:K6"/>
    <mergeCell ref="D4:E4"/>
    <mergeCell ref="H4:I4"/>
  </mergeCells>
  <hyperlinks>
    <hyperlink ref="B3" location="'Dashboard'!A1" display="1 · Dashboard" xr:uid="{00000000-0004-0000-0500-000000000000}"/>
    <hyperlink ref="B4" location="'Sales Analysis'!A1" display="2 · Sales Analysis" xr:uid="{00000000-0004-0000-0500-000001000000}"/>
    <hyperlink ref="B5" location="'Monthly Analysis'!A1" display="3 · Monthly Analysis" xr:uid="{00000000-0004-0000-0500-000002000000}"/>
    <hyperlink ref="B6" location="'Country Analysis'!A1" display="4 · Country Analysis" xr:uid="{00000000-0004-0000-0500-000003000000}"/>
    <hyperlink ref="B7" location="'Product Analysis'!A1" display="5 · Product Analysis" xr:uid="{00000000-0004-0000-0500-000004000000}"/>
    <hyperlink ref="B8" location="'Customer Analysis'!A1" display="6 · Customer Analysis" xr:uid="{00000000-0004-0000-0500-000005000000}"/>
    <hyperlink ref="B9" location="'Returns &amp; Cancellations'!A1" display="7 · Returns &amp; Cancellations" xr:uid="{00000000-0004-0000-0500-000006000000}"/>
    <hyperlink ref="B10" location="'Time Analysis'!A1" display="8 · Time Analysis" xr:uid="{00000000-0004-0000-0500-000007000000}"/>
    <hyperlink ref="B11" location="'Data Quality'!A1" display="9 · Data Quality" xr:uid="{00000000-0004-0000-0500-000008000000}"/>
    <hyperlink ref="B12" location="'Data Dictionary'!A1" display="10 · Data Dictionary" xr:uid="{00000000-0004-0000-0500-000009000000}"/>
    <hyperlink ref="B13" location="'Transaction Data'!A1" display="11 · Transaction Data" xr:uid="{00000000-0004-0000-0500-00000A000000}"/>
  </hyperlinks>
  <pageMargins left="0.75" right="0.75" top="1" bottom="1" header="0.5" footer="0.5"/>
  <pageSetup scale="45" orientation="portrait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46EB4"/>
    <pageSetUpPr fitToPage="1"/>
  </sheetPr>
  <dimension ref="B1:O72"/>
  <sheetViews>
    <sheetView showGridLines="0" zoomScaleNormal="100" workbookViewId="0">
      <pane xSplit="3" ySplit="2" topLeftCell="D3" activePane="bottomRight" state="frozen"/>
      <selection pane="topRight"/>
      <selection pane="bottomLeft"/>
      <selection pane="bottomRight" activeCell="B7" sqref="B7"/>
    </sheetView>
  </sheetViews>
  <sheetFormatPr baseColWidth="10" defaultColWidth="8.83203125" defaultRowHeight="13" x14ac:dyDescent="0.15"/>
  <cols>
    <col min="1" max="1" width="1.5" customWidth="1"/>
    <col min="2" max="2" width="26" customWidth="1"/>
    <col min="3" max="3" width="1.5" customWidth="1"/>
    <col min="4" max="15" width="13" customWidth="1"/>
  </cols>
  <sheetData>
    <row r="1" spans="2:15" ht="20" customHeight="1" x14ac:dyDescent="0.15">
      <c r="B1" s="65" t="s">
        <v>0</v>
      </c>
      <c r="D1" s="71" t="s">
        <v>576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2:15" ht="20" customHeight="1" x14ac:dyDescent="0.15">
      <c r="B2" s="56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2:15" ht="20" customHeight="1" x14ac:dyDescent="0.15">
      <c r="B3" s="51" t="s">
        <v>2</v>
      </c>
    </row>
    <row r="4" spans="2:15" ht="20" customHeight="1" x14ac:dyDescent="0.15">
      <c r="B4" s="47" t="s">
        <v>3</v>
      </c>
      <c r="D4" s="67" t="s">
        <v>577</v>
      </c>
      <c r="E4" s="75"/>
      <c r="F4" s="67" t="s">
        <v>578</v>
      </c>
      <c r="G4" s="75"/>
      <c r="H4" s="67" t="s">
        <v>579</v>
      </c>
      <c r="I4" s="75"/>
      <c r="J4" s="67" t="s">
        <v>580</v>
      </c>
      <c r="K4" s="75"/>
      <c r="L4" s="67" t="s">
        <v>581</v>
      </c>
      <c r="M4" s="75"/>
      <c r="N4" s="67" t="s">
        <v>582</v>
      </c>
      <c r="O4" s="75"/>
    </row>
    <row r="5" spans="2:15" ht="20" customHeight="1" x14ac:dyDescent="0.15">
      <c r="B5" s="47" t="s">
        <v>10</v>
      </c>
      <c r="D5" s="82">
        <f>SUM(H52:H64)</f>
        <v>896812.49</v>
      </c>
      <c r="E5" s="75"/>
      <c r="F5" s="87">
        <f>SUM(H52:H64)/SUM('Monthly Analysis'!$E$52:$E$64)</f>
        <v>8.4076030026073681E-2</v>
      </c>
      <c r="G5" s="75"/>
      <c r="H5" s="73">
        <f>SUM(F52:F64)</f>
        <v>5172</v>
      </c>
      <c r="I5" s="75"/>
      <c r="J5" s="73">
        <f>SUM(E52:E64)</f>
        <v>10624</v>
      </c>
      <c r="K5" s="75"/>
      <c r="L5" s="62" t="str">
        <f>INDEX(D52:D64,MATCH(MAX(H52:H64),H52:H64,0))</f>
        <v>2011-12</v>
      </c>
      <c r="M5" s="75"/>
      <c r="N5" s="82">
        <f>AVERAGE(H52:H64)</f>
        <v>68985.576153846152</v>
      </c>
      <c r="O5" s="75"/>
    </row>
    <row r="6" spans="2:15" ht="20" customHeight="1" x14ac:dyDescent="0.15">
      <c r="B6" s="47" t="s">
        <v>11</v>
      </c>
      <c r="D6" s="76"/>
      <c r="E6" s="75"/>
      <c r="F6" s="76"/>
      <c r="G6" s="75"/>
      <c r="H6" s="76"/>
      <c r="I6" s="75"/>
      <c r="J6" s="76"/>
      <c r="K6" s="75"/>
      <c r="L6" s="76"/>
      <c r="M6" s="75"/>
      <c r="N6" s="76"/>
      <c r="O6" s="75"/>
    </row>
    <row r="7" spans="2:15" ht="20" customHeight="1" x14ac:dyDescent="0.15">
      <c r="B7" s="47" t="s">
        <v>12</v>
      </c>
      <c r="D7" s="60" t="s">
        <v>583</v>
      </c>
      <c r="E7" s="78"/>
      <c r="F7" s="60" t="s">
        <v>584</v>
      </c>
      <c r="G7" s="78"/>
      <c r="H7" s="60" t="s">
        <v>115</v>
      </c>
      <c r="I7" s="78"/>
      <c r="J7" s="60" t="s">
        <v>585</v>
      </c>
      <c r="K7" s="78"/>
      <c r="L7" s="60" t="str">
        <f>TEXT(MAX(H52:H64),"$#,##0")&amp;" reversed"</f>
        <v>$205,125 reversed</v>
      </c>
      <c r="M7" s="78"/>
      <c r="N7" s="60" t="s">
        <v>586</v>
      </c>
      <c r="O7" s="78"/>
    </row>
    <row r="8" spans="2:15" ht="20" customHeight="1" x14ac:dyDescent="0.15">
      <c r="B8" s="47" t="s">
        <v>17</v>
      </c>
    </row>
    <row r="9" spans="2:15" ht="20" customHeight="1" x14ac:dyDescent="0.15">
      <c r="B9" s="46" t="s">
        <v>18</v>
      </c>
      <c r="D9" s="61" t="s">
        <v>116</v>
      </c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</row>
    <row r="10" spans="2:15" ht="20" customHeight="1" x14ac:dyDescent="0.15">
      <c r="B10" s="47" t="s">
        <v>19</v>
      </c>
      <c r="D10" s="1">
        <v>1</v>
      </c>
      <c r="E10" s="58" t="s">
        <v>587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</row>
    <row r="11" spans="2:15" ht="20" customHeight="1" x14ac:dyDescent="0.15">
      <c r="B11" s="47" t="s">
        <v>20</v>
      </c>
      <c r="D11" s="1">
        <v>2</v>
      </c>
      <c r="E11" s="58" t="s">
        <v>588</v>
      </c>
      <c r="F11" s="83"/>
      <c r="G11" s="83"/>
      <c r="H11" s="83"/>
      <c r="I11" s="83"/>
      <c r="J11" s="83"/>
      <c r="K11" s="83"/>
      <c r="L11" s="83"/>
      <c r="M11" s="83"/>
      <c r="N11" s="83"/>
      <c r="O11" s="83"/>
    </row>
    <row r="12" spans="2:15" ht="20" customHeight="1" x14ac:dyDescent="0.15">
      <c r="B12" s="47" t="s">
        <v>21</v>
      </c>
      <c r="D12" s="1">
        <v>3</v>
      </c>
      <c r="E12" s="58" t="s">
        <v>589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</row>
    <row r="13" spans="2:15" ht="20" customHeight="1" x14ac:dyDescent="0.15">
      <c r="B13" s="48" t="s">
        <v>22</v>
      </c>
      <c r="D13" s="1">
        <v>4</v>
      </c>
      <c r="E13" s="58" t="s">
        <v>590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</row>
    <row r="14" spans="2:15" ht="20" customHeight="1" x14ac:dyDescent="0.15">
      <c r="B14" s="48"/>
    </row>
    <row r="15" spans="2:15" ht="14" x14ac:dyDescent="0.15">
      <c r="B15" s="48"/>
      <c r="D15" s="63" t="s">
        <v>47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</row>
    <row r="16" spans="2:15" ht="20" customHeight="1" x14ac:dyDescent="0.15">
      <c r="B16" s="48"/>
    </row>
    <row r="17" spans="2:2" ht="14" x14ac:dyDescent="0.15">
      <c r="B17" s="48"/>
    </row>
    <row r="18" spans="2:2" ht="14" x14ac:dyDescent="0.15">
      <c r="B18" s="48"/>
    </row>
    <row r="19" spans="2:2" ht="14" x14ac:dyDescent="0.15">
      <c r="B19" s="48"/>
    </row>
    <row r="20" spans="2:2" ht="14" x14ac:dyDescent="0.15">
      <c r="B20" s="48"/>
    </row>
    <row r="21" spans="2:2" ht="14" x14ac:dyDescent="0.15">
      <c r="B21" s="48"/>
    </row>
    <row r="22" spans="2:2" ht="14" x14ac:dyDescent="0.15">
      <c r="B22" s="48"/>
    </row>
    <row r="23" spans="2:2" ht="14" x14ac:dyDescent="0.15">
      <c r="B23" s="48"/>
    </row>
    <row r="24" spans="2:2" ht="14" x14ac:dyDescent="0.15">
      <c r="B24" s="48"/>
    </row>
    <row r="25" spans="2:2" ht="14" x14ac:dyDescent="0.15">
      <c r="B25" s="48"/>
    </row>
    <row r="26" spans="2:2" ht="14" x14ac:dyDescent="0.15">
      <c r="B26" s="48"/>
    </row>
    <row r="27" spans="2:2" ht="14" x14ac:dyDescent="0.15">
      <c r="B27" s="48"/>
    </row>
    <row r="28" spans="2:2" ht="14" x14ac:dyDescent="0.15">
      <c r="B28" s="48"/>
    </row>
    <row r="29" spans="2:2" ht="14" x14ac:dyDescent="0.15">
      <c r="B29" s="48"/>
    </row>
    <row r="30" spans="2:2" ht="14" x14ac:dyDescent="0.15">
      <c r="B30" s="48"/>
    </row>
    <row r="31" spans="2:2" ht="14" x14ac:dyDescent="0.15">
      <c r="B31" s="48"/>
    </row>
    <row r="32" spans="2:2" ht="14" x14ac:dyDescent="0.15">
      <c r="B32" s="48"/>
    </row>
    <row r="33" spans="2:2" ht="14" x14ac:dyDescent="0.15">
      <c r="B33" s="48"/>
    </row>
    <row r="34" spans="2:2" ht="14" x14ac:dyDescent="0.15">
      <c r="B34" s="48"/>
    </row>
    <row r="35" spans="2:2" ht="14" x14ac:dyDescent="0.15">
      <c r="B35" s="48"/>
    </row>
    <row r="36" spans="2:2" ht="14" x14ac:dyDescent="0.15">
      <c r="B36" s="48"/>
    </row>
    <row r="37" spans="2:2" ht="14" x14ac:dyDescent="0.15">
      <c r="B37" s="48"/>
    </row>
    <row r="38" spans="2:2" ht="14" x14ac:dyDescent="0.15">
      <c r="B38" s="48"/>
    </row>
    <row r="39" spans="2:2" ht="14" x14ac:dyDescent="0.15">
      <c r="B39" s="48"/>
    </row>
    <row r="40" spans="2:2" ht="14" x14ac:dyDescent="0.15">
      <c r="B40" s="48"/>
    </row>
    <row r="41" spans="2:2" ht="14" x14ac:dyDescent="0.15">
      <c r="B41" s="48"/>
    </row>
    <row r="42" spans="2:2" ht="14" x14ac:dyDescent="0.15">
      <c r="B42" s="48"/>
    </row>
    <row r="43" spans="2:2" ht="14" x14ac:dyDescent="0.15">
      <c r="B43" s="48"/>
    </row>
    <row r="44" spans="2:2" ht="14" x14ac:dyDescent="0.15">
      <c r="B44" s="48"/>
    </row>
    <row r="45" spans="2:2" ht="14" x14ac:dyDescent="0.15">
      <c r="B45" s="48"/>
    </row>
    <row r="46" spans="2:2" ht="14" x14ac:dyDescent="0.15">
      <c r="B46" s="48"/>
    </row>
    <row r="47" spans="2:2" ht="14" x14ac:dyDescent="0.15">
      <c r="B47" s="48"/>
    </row>
    <row r="48" spans="2:2" ht="14" x14ac:dyDescent="0.15">
      <c r="B48" s="48"/>
    </row>
    <row r="49" spans="2:15" ht="14" x14ac:dyDescent="0.15">
      <c r="B49" s="48"/>
    </row>
    <row r="50" spans="2:15" ht="14" x14ac:dyDescent="0.15">
      <c r="B50" s="48"/>
      <c r="D50" s="63" t="s">
        <v>591</v>
      </c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</row>
    <row r="51" spans="2:15" ht="20" customHeight="1" x14ac:dyDescent="0.15">
      <c r="B51" s="48"/>
      <c r="D51" s="3" t="s">
        <v>74</v>
      </c>
      <c r="E51" s="3" t="s">
        <v>592</v>
      </c>
      <c r="F51" s="3" t="s">
        <v>593</v>
      </c>
      <c r="G51" s="3" t="s">
        <v>594</v>
      </c>
      <c r="H51" s="3" t="s">
        <v>595</v>
      </c>
      <c r="J51" s="14" t="s">
        <v>74</v>
      </c>
      <c r="K51" s="14" t="s">
        <v>595</v>
      </c>
      <c r="L51" s="14" t="s">
        <v>75</v>
      </c>
      <c r="M51" s="14" t="s">
        <v>596</v>
      </c>
    </row>
    <row r="52" spans="2:15" ht="30" customHeight="1" x14ac:dyDescent="0.15">
      <c r="B52" s="48"/>
      <c r="D52" s="4" t="s">
        <v>83</v>
      </c>
      <c r="E52" s="6">
        <v>798</v>
      </c>
      <c r="F52" s="6">
        <v>396</v>
      </c>
      <c r="G52" s="6">
        <v>20088</v>
      </c>
      <c r="H52" s="5">
        <v>74789.119999999995</v>
      </c>
      <c r="J52" s="4" t="str">
        <f t="shared" ref="J52:J64" si="0">D52</f>
        <v>2010-12</v>
      </c>
      <c r="K52" s="5">
        <f t="shared" ref="K52:K64" si="1">H52</f>
        <v>74789.119999999995</v>
      </c>
      <c r="L52" s="5">
        <f>INDEX('Monthly Analysis'!$E$52:$E$64,MATCH(J52,'Monthly Analysis'!$D$52:$D$64,0))</f>
        <v>823746.14</v>
      </c>
      <c r="M52" s="29">
        <f t="shared" ref="M52:M64" si="2">IF(L52=0,0,K52/L52)</f>
        <v>9.0791466409784929E-2</v>
      </c>
    </row>
    <row r="53" spans="2:15" ht="18" customHeight="1" x14ac:dyDescent="0.15">
      <c r="B53" s="48"/>
      <c r="D53" s="8" t="s">
        <v>84</v>
      </c>
      <c r="E53" s="10">
        <v>797</v>
      </c>
      <c r="F53" s="10">
        <v>356</v>
      </c>
      <c r="G53" s="10">
        <v>88750</v>
      </c>
      <c r="H53" s="9">
        <v>131364.29999999999</v>
      </c>
      <c r="J53" s="8" t="str">
        <f t="shared" si="0"/>
        <v>2011-01</v>
      </c>
      <c r="K53" s="9">
        <f t="shared" si="1"/>
        <v>131364.29999999999</v>
      </c>
      <c r="L53" s="9">
        <f>INDEX('Monthly Analysis'!$E$52:$E$64,MATCH(J53,'Monthly Analysis'!$D$52:$D$64,0))</f>
        <v>691364.56</v>
      </c>
      <c r="M53" s="30">
        <f t="shared" si="2"/>
        <v>0.19000728067403394</v>
      </c>
    </row>
    <row r="54" spans="2:15" ht="18" customHeight="1" x14ac:dyDescent="0.15">
      <c r="B54" s="48"/>
      <c r="D54" s="4" t="s">
        <v>85</v>
      </c>
      <c r="E54" s="6">
        <v>523</v>
      </c>
      <c r="F54" s="6">
        <v>267</v>
      </c>
      <c r="G54" s="6">
        <v>8706</v>
      </c>
      <c r="H54" s="5">
        <v>25569.24</v>
      </c>
      <c r="J54" s="4" t="str">
        <f t="shared" si="0"/>
        <v>2011-02</v>
      </c>
      <c r="K54" s="5">
        <f t="shared" si="1"/>
        <v>25569.24</v>
      </c>
      <c r="L54" s="5">
        <f>INDEX('Monthly Analysis'!$E$52:$E$64,MATCH(J54,'Monthly Analysis'!$D$52:$D$64,0))</f>
        <v>523631.89</v>
      </c>
      <c r="M54" s="29">
        <f t="shared" si="2"/>
        <v>4.8830563012501015E-2</v>
      </c>
    </row>
    <row r="55" spans="2:15" ht="18" customHeight="1" x14ac:dyDescent="0.15">
      <c r="B55" s="48"/>
      <c r="D55" s="8" t="s">
        <v>86</v>
      </c>
      <c r="E55" s="10">
        <v>833</v>
      </c>
      <c r="F55" s="10">
        <v>452</v>
      </c>
      <c r="G55" s="10">
        <v>33078</v>
      </c>
      <c r="H55" s="9">
        <v>34372.28</v>
      </c>
      <c r="J55" s="8" t="str">
        <f t="shared" si="0"/>
        <v>2011-03</v>
      </c>
      <c r="K55" s="9">
        <f t="shared" si="1"/>
        <v>34372.28</v>
      </c>
      <c r="L55" s="9">
        <f>INDEX('Monthly Analysis'!$E$52:$E$64,MATCH(J55,'Monthly Analysis'!$D$52:$D$64,0))</f>
        <v>717639.36</v>
      </c>
      <c r="M55" s="30">
        <f t="shared" si="2"/>
        <v>4.7896313825373231E-2</v>
      </c>
    </row>
    <row r="56" spans="2:15" ht="18" customHeight="1" x14ac:dyDescent="0.15">
      <c r="B56" s="48"/>
      <c r="D56" s="4" t="s">
        <v>87</v>
      </c>
      <c r="E56" s="6">
        <v>745</v>
      </c>
      <c r="F56" s="6">
        <v>426</v>
      </c>
      <c r="G56" s="6">
        <v>23078</v>
      </c>
      <c r="H56" s="5">
        <v>44601.5</v>
      </c>
      <c r="J56" s="4" t="str">
        <f t="shared" si="0"/>
        <v>2011-04</v>
      </c>
      <c r="K56" s="5">
        <f t="shared" si="1"/>
        <v>44601.5</v>
      </c>
      <c r="L56" s="5">
        <f>INDEX('Monthly Analysis'!$E$52:$E$64,MATCH(J56,'Monthly Analysis'!$D$52:$D$64,0))</f>
        <v>537808.62100000004</v>
      </c>
      <c r="M56" s="29">
        <f t="shared" si="2"/>
        <v>8.2931917151249979E-2</v>
      </c>
    </row>
    <row r="57" spans="2:15" ht="18" customHeight="1" x14ac:dyDescent="0.15">
      <c r="B57" s="48"/>
      <c r="D57" s="8" t="s">
        <v>88</v>
      </c>
      <c r="E57" s="10">
        <v>738</v>
      </c>
      <c r="F57" s="10">
        <v>431</v>
      </c>
      <c r="G57" s="10">
        <v>19034</v>
      </c>
      <c r="H57" s="9">
        <v>47202.51</v>
      </c>
      <c r="J57" s="8" t="str">
        <f t="shared" si="0"/>
        <v>2011-05</v>
      </c>
      <c r="K57" s="9">
        <f t="shared" si="1"/>
        <v>47202.51</v>
      </c>
      <c r="L57" s="9">
        <f>INDEX('Monthly Analysis'!$E$52:$E$64,MATCH(J57,'Monthly Analysis'!$D$52:$D$64,0))</f>
        <v>770536.02</v>
      </c>
      <c r="M57" s="30">
        <f t="shared" si="2"/>
        <v>6.1259316598852837E-2</v>
      </c>
    </row>
    <row r="58" spans="2:15" ht="18" customHeight="1" x14ac:dyDescent="0.15">
      <c r="B58" s="48"/>
      <c r="D58" s="4" t="s">
        <v>89</v>
      </c>
      <c r="E58" s="6">
        <v>818</v>
      </c>
      <c r="F58" s="6">
        <v>436</v>
      </c>
      <c r="G58" s="6">
        <v>52714</v>
      </c>
      <c r="H58" s="5">
        <v>70616.78</v>
      </c>
      <c r="J58" s="4" t="str">
        <f t="shared" si="0"/>
        <v>2011-06</v>
      </c>
      <c r="K58" s="5">
        <f t="shared" si="1"/>
        <v>70616.78</v>
      </c>
      <c r="L58" s="5">
        <f>INDEX('Monthly Analysis'!$E$52:$E$64,MATCH(J58,'Monthly Analysis'!$D$52:$D$64,0))</f>
        <v>761739.9</v>
      </c>
      <c r="M58" s="29">
        <f t="shared" si="2"/>
        <v>9.2704583283611627E-2</v>
      </c>
    </row>
    <row r="59" spans="2:15" ht="18" customHeight="1" x14ac:dyDescent="0.15">
      <c r="B59" s="48"/>
      <c r="D59" s="8" t="s">
        <v>90</v>
      </c>
      <c r="E59" s="10">
        <v>802</v>
      </c>
      <c r="F59" s="10">
        <v>387</v>
      </c>
      <c r="G59" s="10">
        <v>16423</v>
      </c>
      <c r="H59" s="9">
        <v>37921.08</v>
      </c>
      <c r="J59" s="8" t="str">
        <f t="shared" si="0"/>
        <v>2011-07</v>
      </c>
      <c r="K59" s="9">
        <f t="shared" si="1"/>
        <v>37921.08</v>
      </c>
      <c r="L59" s="9">
        <f>INDEX('Monthly Analysis'!$E$52:$E$64,MATCH(J59,'Monthly Analysis'!$D$52:$D$64,0))</f>
        <v>719221.19099999999</v>
      </c>
      <c r="M59" s="30">
        <f t="shared" si="2"/>
        <v>5.2725198415350921E-2</v>
      </c>
    </row>
    <row r="60" spans="2:15" ht="18" customHeight="1" x14ac:dyDescent="0.15">
      <c r="B60" s="48"/>
      <c r="D60" s="4" t="s">
        <v>91</v>
      </c>
      <c r="E60" s="6">
        <v>718</v>
      </c>
      <c r="F60" s="6">
        <v>328</v>
      </c>
      <c r="G60" s="6">
        <v>18817</v>
      </c>
      <c r="H60" s="5">
        <v>54333.75</v>
      </c>
      <c r="J60" s="4" t="str">
        <f t="shared" si="0"/>
        <v>2011-08</v>
      </c>
      <c r="K60" s="5">
        <f t="shared" si="1"/>
        <v>54333.75</v>
      </c>
      <c r="L60" s="5">
        <f>INDEX('Monthly Analysis'!$E$52:$E$64,MATCH(J60,'Monthly Analysis'!$D$52:$D$64,0))</f>
        <v>759138.38</v>
      </c>
      <c r="M60" s="29">
        <f t="shared" si="2"/>
        <v>7.1572919287785183E-2</v>
      </c>
    </row>
    <row r="61" spans="2:15" ht="18" customHeight="1" x14ac:dyDescent="0.15">
      <c r="B61" s="48"/>
      <c r="D61" s="8" t="s">
        <v>92</v>
      </c>
      <c r="E61" s="10">
        <v>903</v>
      </c>
      <c r="F61" s="10">
        <v>431</v>
      </c>
      <c r="G61" s="10">
        <v>25599</v>
      </c>
      <c r="H61" s="9">
        <v>38902.550000000003</v>
      </c>
      <c r="J61" s="8" t="str">
        <f t="shared" si="0"/>
        <v>2011-09</v>
      </c>
      <c r="K61" s="9">
        <f t="shared" si="1"/>
        <v>38902.550000000003</v>
      </c>
      <c r="L61" s="9">
        <f>INDEX('Monthly Analysis'!$E$52:$E$64,MATCH(J61,'Monthly Analysis'!$D$52:$D$64,0))</f>
        <v>1058590.172</v>
      </c>
      <c r="M61" s="30">
        <f t="shared" si="2"/>
        <v>3.6749396536056259E-2</v>
      </c>
    </row>
    <row r="62" spans="2:15" ht="18" customHeight="1" x14ac:dyDescent="0.15">
      <c r="B62" s="48"/>
      <c r="D62" s="4" t="s">
        <v>93</v>
      </c>
      <c r="E62" s="6">
        <v>1346</v>
      </c>
      <c r="F62" s="6">
        <v>508</v>
      </c>
      <c r="G62" s="6">
        <v>58213</v>
      </c>
      <c r="H62" s="5">
        <v>84274.63</v>
      </c>
      <c r="J62" s="4" t="str">
        <f t="shared" si="0"/>
        <v>2011-10</v>
      </c>
      <c r="K62" s="5">
        <f t="shared" si="1"/>
        <v>84274.63</v>
      </c>
      <c r="L62" s="5">
        <f>INDEX('Monthly Analysis'!$E$52:$E$64,MATCH(J62,'Monthly Analysis'!$D$52:$D$64,0))</f>
        <v>1154979.3</v>
      </c>
      <c r="M62" s="29">
        <f t="shared" si="2"/>
        <v>7.2966355327753488E-2</v>
      </c>
    </row>
    <row r="63" spans="2:15" ht="18" customHeight="1" x14ac:dyDescent="0.15">
      <c r="B63" s="48"/>
      <c r="D63" s="8" t="s">
        <v>94</v>
      </c>
      <c r="E63" s="10">
        <v>1213</v>
      </c>
      <c r="F63" s="10">
        <v>578</v>
      </c>
      <c r="G63" s="10">
        <v>31312</v>
      </c>
      <c r="H63" s="9">
        <v>47740.08</v>
      </c>
      <c r="J63" s="8" t="str">
        <f t="shared" si="0"/>
        <v>2011-11</v>
      </c>
      <c r="K63" s="9">
        <f t="shared" si="1"/>
        <v>47740.08</v>
      </c>
      <c r="L63" s="9">
        <f>INDEX('Monthly Analysis'!$E$52:$E$64,MATCH(J63,'Monthly Analysis'!$D$52:$D$64,0))</f>
        <v>1509496.33</v>
      </c>
      <c r="M63" s="30">
        <f t="shared" si="2"/>
        <v>3.162649623666193E-2</v>
      </c>
    </row>
    <row r="64" spans="2:15" ht="18" customHeight="1" x14ac:dyDescent="0.15">
      <c r="B64" s="48"/>
      <c r="D64" s="4" t="s">
        <v>95</v>
      </c>
      <c r="E64" s="6">
        <v>390</v>
      </c>
      <c r="F64" s="6">
        <v>176</v>
      </c>
      <c r="G64" s="6">
        <v>88719</v>
      </c>
      <c r="H64" s="5">
        <v>205124.67</v>
      </c>
      <c r="J64" s="4" t="str">
        <f t="shared" si="0"/>
        <v>2011-12</v>
      </c>
      <c r="K64" s="5">
        <f t="shared" si="1"/>
        <v>205124.67</v>
      </c>
      <c r="L64" s="5">
        <f>INDEX('Monthly Analysis'!$E$52:$E$64,MATCH(J64,'Monthly Analysis'!$D$52:$D$64,0))</f>
        <v>638792.68000000005</v>
      </c>
      <c r="M64" s="29">
        <f t="shared" si="2"/>
        <v>0.32111305658668476</v>
      </c>
    </row>
    <row r="65" spans="2:15" ht="18" customHeight="1" x14ac:dyDescent="0.15">
      <c r="B65" s="48"/>
      <c r="J65" s="84" t="s">
        <v>597</v>
      </c>
      <c r="K65" s="56"/>
      <c r="L65" s="56"/>
      <c r="M65" s="56"/>
    </row>
    <row r="66" spans="2:15" ht="18" customHeight="1" x14ac:dyDescent="0.15">
      <c r="B66" s="48"/>
      <c r="D66" s="85" t="s">
        <v>598</v>
      </c>
      <c r="E66" s="56"/>
      <c r="F66" s="56"/>
      <c r="G66" s="56"/>
      <c r="H66" s="56"/>
    </row>
    <row r="67" spans="2:15" ht="20" customHeight="1" x14ac:dyDescent="0.15">
      <c r="B67" s="48"/>
      <c r="D67" s="3" t="s">
        <v>599</v>
      </c>
      <c r="E67" s="3" t="s">
        <v>600</v>
      </c>
      <c r="F67" s="3" t="s">
        <v>601</v>
      </c>
      <c r="G67" s="3" t="s">
        <v>82</v>
      </c>
      <c r="H67" s="3" t="s">
        <v>595</v>
      </c>
    </row>
    <row r="68" spans="2:15" ht="30" customHeight="1" x14ac:dyDescent="0.15">
      <c r="B68" s="48"/>
      <c r="D68" s="4" t="s">
        <v>602</v>
      </c>
      <c r="E68" s="6">
        <v>9288</v>
      </c>
      <c r="F68" s="6">
        <v>3836</v>
      </c>
      <c r="G68" s="6">
        <v>277574</v>
      </c>
      <c r="H68" s="5">
        <v>896812.49</v>
      </c>
    </row>
    <row r="69" spans="2:15" ht="18" customHeight="1" x14ac:dyDescent="0.15">
      <c r="B69" s="48"/>
      <c r="D69" s="8" t="s">
        <v>603</v>
      </c>
      <c r="E69" s="10">
        <v>1336</v>
      </c>
      <c r="F69" s="10">
        <v>1336</v>
      </c>
      <c r="G69" s="10">
        <v>206957</v>
      </c>
      <c r="H69" s="9">
        <v>0</v>
      </c>
    </row>
    <row r="70" spans="2:15" ht="18" customHeight="1" x14ac:dyDescent="0.15">
      <c r="B70" s="48"/>
    </row>
    <row r="71" spans="2:15" ht="14" x14ac:dyDescent="0.15">
      <c r="B71" s="48"/>
      <c r="D71" s="84" t="s">
        <v>604</v>
      </c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</row>
    <row r="72" spans="2:15" ht="18" customHeight="1" x14ac:dyDescent="0.15"/>
  </sheetData>
  <mergeCells count="30">
    <mergeCell ref="D71:O71"/>
    <mergeCell ref="D1:O2"/>
    <mergeCell ref="L5:M6"/>
    <mergeCell ref="F4:G4"/>
    <mergeCell ref="N5:O6"/>
    <mergeCell ref="D50:O50"/>
    <mergeCell ref="D66:H66"/>
    <mergeCell ref="H4:I4"/>
    <mergeCell ref="H7:I7"/>
    <mergeCell ref="J7:K7"/>
    <mergeCell ref="J65:M65"/>
    <mergeCell ref="E11:O11"/>
    <mergeCell ref="J4:K4"/>
    <mergeCell ref="E13:O13"/>
    <mergeCell ref="D15:O15"/>
    <mergeCell ref="B1:B2"/>
    <mergeCell ref="L4:M4"/>
    <mergeCell ref="N4:O4"/>
    <mergeCell ref="E12:O12"/>
    <mergeCell ref="L7:M7"/>
    <mergeCell ref="N7:O7"/>
    <mergeCell ref="F7:G7"/>
    <mergeCell ref="D5:E6"/>
    <mergeCell ref="E10:O10"/>
    <mergeCell ref="F5:G6"/>
    <mergeCell ref="D7:E7"/>
    <mergeCell ref="D9:O9"/>
    <mergeCell ref="H5:I6"/>
    <mergeCell ref="J5:K6"/>
    <mergeCell ref="D4:E4"/>
  </mergeCells>
  <hyperlinks>
    <hyperlink ref="B3" location="'Dashboard'!A1" display="1 · Dashboard" xr:uid="{00000000-0004-0000-0600-000000000000}"/>
    <hyperlink ref="B4" location="'Sales Analysis'!A1" display="2 · Sales Analysis" xr:uid="{00000000-0004-0000-0600-000001000000}"/>
    <hyperlink ref="B5" location="'Monthly Analysis'!A1" display="3 · Monthly Analysis" xr:uid="{00000000-0004-0000-0600-000002000000}"/>
    <hyperlink ref="B6" location="'Country Analysis'!A1" display="4 · Country Analysis" xr:uid="{00000000-0004-0000-0600-000003000000}"/>
    <hyperlink ref="B7" location="'Product Analysis'!A1" display="5 · Product Analysis" xr:uid="{00000000-0004-0000-0600-000004000000}"/>
    <hyperlink ref="B8" location="'Customer Analysis'!A1" display="6 · Customer Analysis" xr:uid="{00000000-0004-0000-0600-000005000000}"/>
    <hyperlink ref="B9" location="'Returns &amp; Cancellations'!A1" display="7 · Returns &amp; Cancellations" xr:uid="{00000000-0004-0000-0600-000006000000}"/>
    <hyperlink ref="B10" location="'Time Analysis'!A1" display="8 · Time Analysis" xr:uid="{00000000-0004-0000-0600-000007000000}"/>
    <hyperlink ref="B11" location="'Data Quality'!A1" display="9 · Data Quality" xr:uid="{00000000-0004-0000-0600-000008000000}"/>
    <hyperlink ref="B12" location="'Data Dictionary'!A1" display="10 · Data Dictionary" xr:uid="{00000000-0004-0000-0600-000009000000}"/>
    <hyperlink ref="B13" location="'Transaction Data'!A1" display="11 · Transaction Data" xr:uid="{00000000-0004-0000-0600-00000A000000}"/>
  </hyperlinks>
  <pageMargins left="0.75" right="0.75" top="1" bottom="1" header="0.5" footer="0.5"/>
  <pageSetup scale="45" orientation="portrait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46EB4"/>
    <pageSetUpPr fitToPage="1"/>
  </sheetPr>
  <dimension ref="B1:O69"/>
  <sheetViews>
    <sheetView showGridLines="0" zoomScaleNormal="100" workbookViewId="0">
      <pane xSplit="3" ySplit="2" topLeftCell="D3" activePane="bottomRight" state="frozen"/>
      <selection pane="topRight"/>
      <selection pane="bottomLeft"/>
      <selection pane="bottomRight" activeCell="B9" sqref="B9"/>
    </sheetView>
  </sheetViews>
  <sheetFormatPr baseColWidth="10" defaultColWidth="8.83203125" defaultRowHeight="13" x14ac:dyDescent="0.15"/>
  <cols>
    <col min="1" max="1" width="1.5" customWidth="1"/>
    <col min="2" max="2" width="26" customWidth="1"/>
    <col min="3" max="3" width="1.5" customWidth="1"/>
    <col min="4" max="15" width="13" customWidth="1"/>
  </cols>
  <sheetData>
    <row r="1" spans="2:15" ht="20" customHeight="1" x14ac:dyDescent="0.15">
      <c r="B1" s="65" t="s">
        <v>0</v>
      </c>
      <c r="D1" s="71" t="s">
        <v>605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2:15" ht="20" customHeight="1" x14ac:dyDescent="0.15">
      <c r="B2" s="56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2:15" ht="20" customHeight="1" x14ac:dyDescent="0.15">
      <c r="B3" s="51" t="s">
        <v>2</v>
      </c>
    </row>
    <row r="4" spans="2:15" ht="20" customHeight="1" x14ac:dyDescent="0.15">
      <c r="B4" s="47" t="s">
        <v>3</v>
      </c>
      <c r="D4" s="67" t="s">
        <v>606</v>
      </c>
      <c r="E4" s="75"/>
      <c r="F4" s="67" t="s">
        <v>607</v>
      </c>
      <c r="G4" s="75"/>
      <c r="H4" s="67" t="s">
        <v>608</v>
      </c>
      <c r="I4" s="75"/>
      <c r="J4" s="67" t="s">
        <v>609</v>
      </c>
      <c r="K4" s="75"/>
      <c r="L4" s="67" t="s">
        <v>610</v>
      </c>
      <c r="M4" s="75"/>
      <c r="N4" s="67" t="s">
        <v>611</v>
      </c>
      <c r="O4" s="75"/>
    </row>
    <row r="5" spans="2:15" ht="20" customHeight="1" x14ac:dyDescent="0.15">
      <c r="B5" s="47" t="s">
        <v>10</v>
      </c>
      <c r="D5" s="62" t="str">
        <f>INDEX(D52:D58,MATCH(MAX(E52:E58),E52:E58,0))</f>
        <v>Thursday</v>
      </c>
      <c r="E5" s="75"/>
      <c r="F5" s="57">
        <f>MAX(E52:E58)</f>
        <v>2203161.2400000002</v>
      </c>
      <c r="G5" s="75"/>
      <c r="H5" s="90">
        <f>INDEX(I52:I66,MATCH(MAX(J52:J66),J52:J66,0))</f>
        <v>10</v>
      </c>
      <c r="I5" s="75"/>
      <c r="J5" s="57">
        <f>MAX(J52:J66)</f>
        <v>1446742.7009999999</v>
      </c>
      <c r="K5" s="75"/>
      <c r="L5" s="90">
        <f>INDEX(I52:I66,MATCH(MAX(K52:K66),K52:K66,0))</f>
        <v>12</v>
      </c>
      <c r="M5" s="75"/>
      <c r="N5" s="87">
        <f>(SUMIF(D52:D58,"Saturday",E52:E58)+SUMIF(D52:D58,"Sunday",E52:E58))/SUM(E52:E58)</f>
        <v>7.6296210658800948E-2</v>
      </c>
      <c r="O5" s="75"/>
    </row>
    <row r="6" spans="2:15" ht="20" customHeight="1" x14ac:dyDescent="0.15">
      <c r="B6" s="47" t="s">
        <v>11</v>
      </c>
      <c r="D6" s="76"/>
      <c r="E6" s="75"/>
      <c r="F6" s="76"/>
      <c r="G6" s="75"/>
      <c r="H6" s="76"/>
      <c r="I6" s="75"/>
      <c r="J6" s="76"/>
      <c r="K6" s="75"/>
      <c r="L6" s="76"/>
      <c r="M6" s="75"/>
      <c r="N6" s="76"/>
      <c r="O6" s="75"/>
    </row>
    <row r="7" spans="2:15" ht="20" customHeight="1" x14ac:dyDescent="0.15">
      <c r="B7" s="47" t="s">
        <v>12</v>
      </c>
      <c r="D7" s="60" t="str">
        <f>TEXT(MAX(E52:E58),"$#,##0")&amp;" gross sales"</f>
        <v>$2,203,161 gross sales</v>
      </c>
      <c r="E7" s="78"/>
      <c r="F7" s="60" t="s">
        <v>612</v>
      </c>
      <c r="G7" s="78"/>
      <c r="H7" s="60" t="str">
        <f>TEXT(MAX(J52:J66),"$#,##0")&amp;" gross sales"</f>
        <v>$1,446,743 gross sales</v>
      </c>
      <c r="I7" s="78"/>
      <c r="J7" s="60" t="s">
        <v>613</v>
      </c>
      <c r="K7" s="78"/>
      <c r="L7" s="60" t="str">
        <f>TEXT(MAX(K52:K66),"#,##0")&amp;" orders"</f>
        <v>3,220 orders</v>
      </c>
      <c r="M7" s="78"/>
      <c r="N7" s="60" t="s">
        <v>614</v>
      </c>
      <c r="O7" s="78"/>
    </row>
    <row r="8" spans="2:15" ht="20" customHeight="1" x14ac:dyDescent="0.15">
      <c r="B8" s="47" t="s">
        <v>17</v>
      </c>
    </row>
    <row r="9" spans="2:15" ht="20" customHeight="1" x14ac:dyDescent="0.15">
      <c r="B9" s="47" t="s">
        <v>18</v>
      </c>
      <c r="D9" s="61" t="s">
        <v>116</v>
      </c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</row>
    <row r="10" spans="2:15" ht="20" customHeight="1" x14ac:dyDescent="0.15">
      <c r="B10" s="46" t="s">
        <v>19</v>
      </c>
      <c r="D10" s="1">
        <v>1</v>
      </c>
      <c r="E10" s="58" t="s">
        <v>615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</row>
    <row r="11" spans="2:15" ht="20" customHeight="1" x14ac:dyDescent="0.15">
      <c r="B11" s="47" t="s">
        <v>20</v>
      </c>
      <c r="D11" s="1">
        <v>2</v>
      </c>
      <c r="E11" s="58" t="s">
        <v>616</v>
      </c>
      <c r="F11" s="83"/>
      <c r="G11" s="83"/>
      <c r="H11" s="83"/>
      <c r="I11" s="83"/>
      <c r="J11" s="83"/>
      <c r="K11" s="83"/>
      <c r="L11" s="83"/>
      <c r="M11" s="83"/>
      <c r="N11" s="83"/>
      <c r="O11" s="83"/>
    </row>
    <row r="12" spans="2:15" ht="20" customHeight="1" x14ac:dyDescent="0.15">
      <c r="B12" s="47" t="s">
        <v>21</v>
      </c>
      <c r="D12" s="1">
        <v>3</v>
      </c>
      <c r="E12" s="58" t="s">
        <v>617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</row>
    <row r="13" spans="2:15" ht="20" customHeight="1" x14ac:dyDescent="0.15">
      <c r="B13" s="48" t="s">
        <v>22</v>
      </c>
      <c r="D13" s="1">
        <v>4</v>
      </c>
      <c r="E13" s="58" t="s">
        <v>618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</row>
    <row r="14" spans="2:15" ht="20" customHeight="1" x14ac:dyDescent="0.15">
      <c r="B14" s="48"/>
    </row>
    <row r="15" spans="2:15" ht="14" x14ac:dyDescent="0.15">
      <c r="B15" s="48"/>
      <c r="D15" s="63" t="s">
        <v>47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</row>
    <row r="16" spans="2:15" ht="20" customHeight="1" x14ac:dyDescent="0.15">
      <c r="B16" s="48"/>
    </row>
    <row r="17" spans="2:2" ht="14" x14ac:dyDescent="0.15">
      <c r="B17" s="48"/>
    </row>
    <row r="18" spans="2:2" ht="14" x14ac:dyDescent="0.15">
      <c r="B18" s="48"/>
    </row>
    <row r="19" spans="2:2" ht="14" x14ac:dyDescent="0.15">
      <c r="B19" s="48"/>
    </row>
    <row r="20" spans="2:2" ht="14" x14ac:dyDescent="0.15">
      <c r="B20" s="48"/>
    </row>
    <row r="21" spans="2:2" ht="14" x14ac:dyDescent="0.15">
      <c r="B21" s="48"/>
    </row>
    <row r="22" spans="2:2" ht="14" x14ac:dyDescent="0.15">
      <c r="B22" s="48"/>
    </row>
    <row r="23" spans="2:2" ht="14" x14ac:dyDescent="0.15">
      <c r="B23" s="48"/>
    </row>
    <row r="24" spans="2:2" ht="14" x14ac:dyDescent="0.15">
      <c r="B24" s="48"/>
    </row>
    <row r="25" spans="2:2" ht="14" x14ac:dyDescent="0.15">
      <c r="B25" s="48"/>
    </row>
    <row r="26" spans="2:2" ht="14" x14ac:dyDescent="0.15">
      <c r="B26" s="48"/>
    </row>
    <row r="27" spans="2:2" ht="14" x14ac:dyDescent="0.15">
      <c r="B27" s="48"/>
    </row>
    <row r="28" spans="2:2" ht="14" x14ac:dyDescent="0.15">
      <c r="B28" s="48"/>
    </row>
    <row r="29" spans="2:2" ht="14" x14ac:dyDescent="0.15">
      <c r="B29" s="48"/>
    </row>
    <row r="30" spans="2:2" ht="14" x14ac:dyDescent="0.15">
      <c r="B30" s="48"/>
    </row>
    <row r="31" spans="2:2" ht="14" x14ac:dyDescent="0.15">
      <c r="B31" s="48"/>
    </row>
    <row r="32" spans="2:2" ht="14" x14ac:dyDescent="0.15">
      <c r="B32" s="48"/>
    </row>
    <row r="33" spans="2:2" ht="14" x14ac:dyDescent="0.15">
      <c r="B33" s="48"/>
    </row>
    <row r="34" spans="2:2" ht="14" x14ac:dyDescent="0.15">
      <c r="B34" s="48"/>
    </row>
    <row r="35" spans="2:2" ht="14" x14ac:dyDescent="0.15">
      <c r="B35" s="48"/>
    </row>
    <row r="36" spans="2:2" ht="14" x14ac:dyDescent="0.15">
      <c r="B36" s="48"/>
    </row>
    <row r="37" spans="2:2" ht="14" x14ac:dyDescent="0.15">
      <c r="B37" s="48"/>
    </row>
    <row r="38" spans="2:2" ht="14" x14ac:dyDescent="0.15">
      <c r="B38" s="48"/>
    </row>
    <row r="39" spans="2:2" ht="14" x14ac:dyDescent="0.15">
      <c r="B39" s="48"/>
    </row>
    <row r="40" spans="2:2" ht="14" x14ac:dyDescent="0.15">
      <c r="B40" s="48"/>
    </row>
    <row r="41" spans="2:2" ht="14" x14ac:dyDescent="0.15">
      <c r="B41" s="48"/>
    </row>
    <row r="42" spans="2:2" ht="14" x14ac:dyDescent="0.15">
      <c r="B42" s="48"/>
    </row>
    <row r="43" spans="2:2" ht="14" x14ac:dyDescent="0.15">
      <c r="B43" s="48"/>
    </row>
    <row r="44" spans="2:2" ht="14" x14ac:dyDescent="0.15">
      <c r="B44" s="48"/>
    </row>
    <row r="45" spans="2:2" ht="14" x14ac:dyDescent="0.15">
      <c r="B45" s="48"/>
    </row>
    <row r="46" spans="2:2" ht="14" x14ac:dyDescent="0.15">
      <c r="B46" s="48"/>
    </row>
    <row r="47" spans="2:2" ht="14" x14ac:dyDescent="0.15">
      <c r="B47" s="48"/>
    </row>
    <row r="48" spans="2:2" ht="14" x14ac:dyDescent="0.15">
      <c r="B48" s="48"/>
    </row>
    <row r="49" spans="2:15" ht="14" x14ac:dyDescent="0.15">
      <c r="B49" s="48"/>
    </row>
    <row r="50" spans="2:15" ht="14" x14ac:dyDescent="0.15">
      <c r="B50" s="48"/>
      <c r="D50" s="63" t="s">
        <v>619</v>
      </c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</row>
    <row r="51" spans="2:15" ht="20" customHeight="1" x14ac:dyDescent="0.15">
      <c r="B51" s="48"/>
      <c r="D51" s="3" t="s">
        <v>620</v>
      </c>
      <c r="E51" s="3" t="s">
        <v>75</v>
      </c>
      <c r="F51" s="3" t="s">
        <v>76</v>
      </c>
      <c r="G51" s="3" t="s">
        <v>77</v>
      </c>
      <c r="I51" s="31" t="s">
        <v>621</v>
      </c>
      <c r="J51" s="31" t="s">
        <v>75</v>
      </c>
      <c r="K51" s="31" t="s">
        <v>76</v>
      </c>
      <c r="L51" s="31" t="s">
        <v>77</v>
      </c>
    </row>
    <row r="52" spans="2:15" ht="30" customHeight="1" x14ac:dyDescent="0.15">
      <c r="B52" s="48"/>
      <c r="D52" s="4" t="s">
        <v>622</v>
      </c>
      <c r="E52" s="5">
        <v>1779575.041</v>
      </c>
      <c r="F52" s="6">
        <v>3126</v>
      </c>
      <c r="G52" s="6">
        <v>873332</v>
      </c>
      <c r="I52" s="32">
        <v>6</v>
      </c>
      <c r="J52" s="5">
        <v>4.25</v>
      </c>
      <c r="K52" s="6">
        <v>1</v>
      </c>
      <c r="L52" s="6">
        <v>1</v>
      </c>
    </row>
    <row r="53" spans="2:15" ht="18" customHeight="1" x14ac:dyDescent="0.15">
      <c r="B53" s="48"/>
      <c r="D53" s="8" t="s">
        <v>623</v>
      </c>
      <c r="E53" s="9">
        <v>2178632.611</v>
      </c>
      <c r="F53" s="10">
        <v>3554</v>
      </c>
      <c r="G53" s="10">
        <v>1115208</v>
      </c>
      <c r="I53" s="33">
        <v>7</v>
      </c>
      <c r="J53" s="9">
        <v>31059.21</v>
      </c>
      <c r="K53" s="10">
        <v>29</v>
      </c>
      <c r="L53" s="10">
        <v>15370</v>
      </c>
    </row>
    <row r="54" spans="2:15" ht="18" customHeight="1" x14ac:dyDescent="0.15">
      <c r="B54" s="48"/>
      <c r="D54" s="4" t="s">
        <v>624</v>
      </c>
      <c r="E54" s="5">
        <v>1851147.81</v>
      </c>
      <c r="F54" s="6">
        <v>3690</v>
      </c>
      <c r="G54" s="6">
        <v>1027431</v>
      </c>
      <c r="I54" s="32">
        <v>8</v>
      </c>
      <c r="J54" s="5">
        <v>283868.52</v>
      </c>
      <c r="K54" s="6">
        <v>566</v>
      </c>
      <c r="L54" s="6">
        <v>159097</v>
      </c>
    </row>
    <row r="55" spans="2:15" ht="18" customHeight="1" x14ac:dyDescent="0.15">
      <c r="B55" s="48"/>
      <c r="D55" s="8" t="s">
        <v>625</v>
      </c>
      <c r="E55" s="9">
        <v>2203161.2400000002</v>
      </c>
      <c r="F55" s="10">
        <v>4246</v>
      </c>
      <c r="G55" s="10">
        <v>1209617</v>
      </c>
      <c r="I55" s="33">
        <v>9</v>
      </c>
      <c r="J55" s="9">
        <v>990267.821</v>
      </c>
      <c r="K55" s="10">
        <v>1484</v>
      </c>
      <c r="L55" s="10">
        <v>518098</v>
      </c>
    </row>
    <row r="56" spans="2:15" ht="18" customHeight="1" x14ac:dyDescent="0.15">
      <c r="B56" s="48"/>
      <c r="D56" s="4" t="s">
        <v>626</v>
      </c>
      <c r="E56" s="5">
        <v>1840340.2309999999</v>
      </c>
      <c r="F56" s="6">
        <v>3140</v>
      </c>
      <c r="G56" s="6">
        <v>891784</v>
      </c>
      <c r="I56" s="32">
        <v>10</v>
      </c>
      <c r="J56" s="5">
        <v>1446742.7009999999</v>
      </c>
      <c r="K56" s="6">
        <v>2361</v>
      </c>
      <c r="L56" s="6">
        <v>813805</v>
      </c>
    </row>
    <row r="57" spans="2:15" ht="18" customHeight="1" x14ac:dyDescent="0.15">
      <c r="B57" s="48"/>
      <c r="D57" s="8" t="s">
        <v>627</v>
      </c>
      <c r="E57" s="9">
        <v>0</v>
      </c>
      <c r="F57" s="10">
        <v>0</v>
      </c>
      <c r="G57" s="10">
        <v>0</v>
      </c>
      <c r="I57" s="33">
        <v>11</v>
      </c>
      <c r="J57" s="9">
        <v>1239954.44</v>
      </c>
      <c r="K57" s="10">
        <v>2396</v>
      </c>
      <c r="L57" s="10">
        <v>674682</v>
      </c>
    </row>
    <row r="58" spans="2:15" ht="18" customHeight="1" x14ac:dyDescent="0.15">
      <c r="B58" s="48"/>
      <c r="D58" s="4" t="s">
        <v>628</v>
      </c>
      <c r="E58" s="5">
        <v>813827.61100000003</v>
      </c>
      <c r="F58" s="6">
        <v>2204</v>
      </c>
      <c r="G58" s="6">
        <v>471004</v>
      </c>
      <c r="I58" s="32">
        <v>12</v>
      </c>
      <c r="J58" s="5">
        <v>1444245.88</v>
      </c>
      <c r="K58" s="6">
        <v>3220</v>
      </c>
      <c r="L58" s="6">
        <v>839523</v>
      </c>
    </row>
    <row r="59" spans="2:15" ht="18" customHeight="1" x14ac:dyDescent="0.15">
      <c r="B59" s="48"/>
      <c r="I59" s="33">
        <v>13</v>
      </c>
      <c r="J59" s="9">
        <v>1265736.3</v>
      </c>
      <c r="K59" s="10">
        <v>2753</v>
      </c>
      <c r="L59" s="10">
        <v>706285</v>
      </c>
    </row>
    <row r="60" spans="2:15" ht="14" x14ac:dyDescent="0.15">
      <c r="B60" s="48"/>
      <c r="I60" s="32">
        <v>14</v>
      </c>
      <c r="J60" s="5">
        <v>1181812.371</v>
      </c>
      <c r="K60" s="6">
        <v>2457</v>
      </c>
      <c r="L60" s="6">
        <v>599220</v>
      </c>
    </row>
    <row r="61" spans="2:15" ht="14" x14ac:dyDescent="0.15">
      <c r="B61" s="48"/>
      <c r="I61" s="33">
        <v>15</v>
      </c>
      <c r="J61" s="9">
        <v>1352972.18</v>
      </c>
      <c r="K61" s="10">
        <v>2336</v>
      </c>
      <c r="L61" s="10">
        <v>628564</v>
      </c>
    </row>
    <row r="62" spans="2:15" ht="14" x14ac:dyDescent="0.15">
      <c r="B62" s="48"/>
      <c r="I62" s="32">
        <v>16</v>
      </c>
      <c r="J62" s="5">
        <v>754006.56</v>
      </c>
      <c r="K62" s="6">
        <v>1335</v>
      </c>
      <c r="L62" s="6">
        <v>331487</v>
      </c>
    </row>
    <row r="63" spans="2:15" ht="14" x14ac:dyDescent="0.15">
      <c r="B63" s="48"/>
      <c r="I63" s="33">
        <v>17</v>
      </c>
      <c r="J63" s="9">
        <v>461603.49099999998</v>
      </c>
      <c r="K63" s="10">
        <v>667</v>
      </c>
      <c r="L63" s="10">
        <v>192975</v>
      </c>
    </row>
    <row r="64" spans="2:15" ht="14" x14ac:dyDescent="0.15">
      <c r="B64" s="48"/>
      <c r="I64" s="32">
        <v>18</v>
      </c>
      <c r="J64" s="5">
        <v>144813.04999999999</v>
      </c>
      <c r="K64" s="6">
        <v>192</v>
      </c>
      <c r="L64" s="6">
        <v>66578</v>
      </c>
    </row>
    <row r="65" spans="2:15" ht="14" x14ac:dyDescent="0.15">
      <c r="B65" s="48"/>
      <c r="I65" s="33">
        <v>19</v>
      </c>
      <c r="J65" s="9">
        <v>50665.01</v>
      </c>
      <c r="K65" s="10">
        <v>146</v>
      </c>
      <c r="L65" s="10">
        <v>33104</v>
      </c>
    </row>
    <row r="66" spans="2:15" ht="14" x14ac:dyDescent="0.15">
      <c r="B66" s="48"/>
      <c r="I66" s="32">
        <v>20</v>
      </c>
      <c r="J66" s="5">
        <v>18932.759999999998</v>
      </c>
      <c r="K66" s="6">
        <v>18</v>
      </c>
      <c r="L66" s="6">
        <v>9587</v>
      </c>
    </row>
    <row r="67" spans="2:15" ht="14" x14ac:dyDescent="0.15">
      <c r="B67" s="48"/>
    </row>
    <row r="68" spans="2:15" ht="14" x14ac:dyDescent="0.15">
      <c r="B68" s="48"/>
      <c r="D68" s="84" t="s">
        <v>629</v>
      </c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</row>
    <row r="69" spans="2:15" ht="18" customHeight="1" x14ac:dyDescent="0.15"/>
  </sheetData>
  <mergeCells count="28">
    <mergeCell ref="B1:B2"/>
    <mergeCell ref="L4:M4"/>
    <mergeCell ref="N4:O4"/>
    <mergeCell ref="E12:O12"/>
    <mergeCell ref="L7:M7"/>
    <mergeCell ref="N7:O7"/>
    <mergeCell ref="F7:G7"/>
    <mergeCell ref="D4:E4"/>
    <mergeCell ref="H4:I4"/>
    <mergeCell ref="E11:O11"/>
    <mergeCell ref="J4:K4"/>
    <mergeCell ref="D1:O2"/>
    <mergeCell ref="L5:M6"/>
    <mergeCell ref="F4:G4"/>
    <mergeCell ref="N5:O6"/>
    <mergeCell ref="D50:O50"/>
    <mergeCell ref="D5:E6"/>
    <mergeCell ref="E10:O10"/>
    <mergeCell ref="F5:G6"/>
    <mergeCell ref="D68:O68"/>
    <mergeCell ref="D7:E7"/>
    <mergeCell ref="D9:O9"/>
    <mergeCell ref="H5:I6"/>
    <mergeCell ref="J5:K6"/>
    <mergeCell ref="H7:I7"/>
    <mergeCell ref="J7:K7"/>
    <mergeCell ref="E13:O13"/>
    <mergeCell ref="D15:O15"/>
  </mergeCells>
  <hyperlinks>
    <hyperlink ref="B3" location="'Dashboard'!A1" display="1 · Dashboard" xr:uid="{00000000-0004-0000-0700-000000000000}"/>
    <hyperlink ref="B4" location="'Sales Analysis'!A1" display="2 · Sales Analysis" xr:uid="{00000000-0004-0000-0700-000001000000}"/>
    <hyperlink ref="B5" location="'Monthly Analysis'!A1" display="3 · Monthly Analysis" xr:uid="{00000000-0004-0000-0700-000002000000}"/>
    <hyperlink ref="B6" location="'Country Analysis'!A1" display="4 · Country Analysis" xr:uid="{00000000-0004-0000-0700-000003000000}"/>
    <hyperlink ref="B7" location="'Product Analysis'!A1" display="5 · Product Analysis" xr:uid="{00000000-0004-0000-0700-000004000000}"/>
    <hyperlink ref="B8" location="'Customer Analysis'!A1" display="6 · Customer Analysis" xr:uid="{00000000-0004-0000-0700-000005000000}"/>
    <hyperlink ref="B9" location="'Returns &amp; Cancellations'!A1" display="7 · Returns &amp; Cancellations" xr:uid="{00000000-0004-0000-0700-000006000000}"/>
    <hyperlink ref="B10" location="'Time Analysis'!A1" display="8 · Time Analysis" xr:uid="{00000000-0004-0000-0700-000007000000}"/>
    <hyperlink ref="B11" location="'Data Quality'!A1" display="9 · Data Quality" xr:uid="{00000000-0004-0000-0700-000008000000}"/>
    <hyperlink ref="B12" location="'Data Dictionary'!A1" display="10 · Data Dictionary" xr:uid="{00000000-0004-0000-0700-000009000000}"/>
    <hyperlink ref="B13" location="'Transaction Data'!A1" display="11 · Transaction Data" xr:uid="{00000000-0004-0000-0700-00000A000000}"/>
  </hyperlinks>
  <pageMargins left="0.75" right="0.75" top="1" bottom="1" header="0.5" footer="0.5"/>
  <pageSetup scale="45" orientation="portrait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8C8D"/>
    <pageSetUpPr fitToPage="1"/>
  </sheetPr>
  <dimension ref="B1:F49"/>
  <sheetViews>
    <sheetView showGridLines="0" zoomScaleNormal="100" workbookViewId="0">
      <pane xSplit="3" ySplit="2" topLeftCell="D3" activePane="bottomRight" state="frozen"/>
      <selection pane="topRight"/>
      <selection pane="bottomLeft"/>
      <selection pane="bottomRight" activeCell="B10" sqref="B10"/>
    </sheetView>
  </sheetViews>
  <sheetFormatPr baseColWidth="10" defaultColWidth="8.83203125" defaultRowHeight="13" x14ac:dyDescent="0.15"/>
  <cols>
    <col min="1" max="1" width="1.5" customWidth="1"/>
    <col min="2" max="2" width="26" customWidth="1"/>
    <col min="3" max="3" width="1.5" customWidth="1"/>
    <col min="4" max="4" width="46" customWidth="1"/>
    <col min="5" max="5" width="14" customWidth="1"/>
    <col min="6" max="6" width="95" customWidth="1"/>
  </cols>
  <sheetData>
    <row r="1" spans="2:6" ht="20" customHeight="1" x14ac:dyDescent="0.15">
      <c r="B1" s="65" t="s">
        <v>0</v>
      </c>
      <c r="D1" s="71" t="s">
        <v>630</v>
      </c>
      <c r="E1" s="72"/>
      <c r="F1" s="72"/>
    </row>
    <row r="2" spans="2:6" ht="20" customHeight="1" x14ac:dyDescent="0.15">
      <c r="B2" s="56"/>
      <c r="D2" s="72"/>
      <c r="E2" s="72"/>
      <c r="F2" s="72"/>
    </row>
    <row r="3" spans="2:6" ht="20" customHeight="1" x14ac:dyDescent="0.15">
      <c r="B3" s="51" t="s">
        <v>2</v>
      </c>
    </row>
    <row r="4" spans="2:6" ht="20" customHeight="1" x14ac:dyDescent="0.15">
      <c r="B4" s="47" t="s">
        <v>3</v>
      </c>
      <c r="D4" s="61" t="s">
        <v>116</v>
      </c>
      <c r="E4" s="56"/>
      <c r="F4" s="56"/>
    </row>
    <row r="5" spans="2:6" ht="20" customHeight="1" x14ac:dyDescent="0.15">
      <c r="B5" s="47" t="s">
        <v>10</v>
      </c>
      <c r="D5" s="1">
        <v>1</v>
      </c>
      <c r="E5" s="58" t="s">
        <v>631</v>
      </c>
      <c r="F5" s="83"/>
    </row>
    <row r="6" spans="2:6" ht="20" customHeight="1" x14ac:dyDescent="0.15">
      <c r="B6" s="47" t="s">
        <v>11</v>
      </c>
      <c r="D6" s="1">
        <v>2</v>
      </c>
      <c r="E6" s="58" t="s">
        <v>632</v>
      </c>
      <c r="F6" s="83"/>
    </row>
    <row r="7" spans="2:6" ht="20" customHeight="1" x14ac:dyDescent="0.15">
      <c r="B7" s="47" t="s">
        <v>12</v>
      </c>
      <c r="D7" s="1">
        <v>3</v>
      </c>
      <c r="E7" s="58" t="s">
        <v>633</v>
      </c>
      <c r="F7" s="83"/>
    </row>
    <row r="8" spans="2:6" ht="20" customHeight="1" x14ac:dyDescent="0.15">
      <c r="B8" s="47" t="s">
        <v>17</v>
      </c>
    </row>
    <row r="9" spans="2:6" ht="20" customHeight="1" x14ac:dyDescent="0.15">
      <c r="B9" s="47" t="s">
        <v>18</v>
      </c>
      <c r="D9" s="63" t="s">
        <v>47</v>
      </c>
      <c r="E9" s="56"/>
      <c r="F9" s="56"/>
    </row>
    <row r="10" spans="2:6" ht="20" customHeight="1" x14ac:dyDescent="0.15">
      <c r="B10" s="47" t="s">
        <v>19</v>
      </c>
    </row>
    <row r="11" spans="2:6" ht="20" customHeight="1" x14ac:dyDescent="0.15">
      <c r="B11" s="46" t="s">
        <v>20</v>
      </c>
    </row>
    <row r="12" spans="2:6" ht="20" customHeight="1" x14ac:dyDescent="0.15">
      <c r="B12" s="47" t="s">
        <v>21</v>
      </c>
    </row>
    <row r="13" spans="2:6" ht="20" customHeight="1" x14ac:dyDescent="0.15">
      <c r="B13" s="48" t="s">
        <v>22</v>
      </c>
    </row>
    <row r="14" spans="2:6" ht="20" customHeight="1" x14ac:dyDescent="0.15">
      <c r="B14" s="48"/>
    </row>
    <row r="15" spans="2:6" ht="14" x14ac:dyDescent="0.15">
      <c r="B15" s="48"/>
    </row>
    <row r="16" spans="2:6" ht="14" x14ac:dyDescent="0.15">
      <c r="B16" s="48"/>
    </row>
    <row r="17" spans="2:6" ht="14" x14ac:dyDescent="0.15">
      <c r="B17" s="48"/>
    </row>
    <row r="18" spans="2:6" ht="14" x14ac:dyDescent="0.15">
      <c r="B18" s="48"/>
    </row>
    <row r="19" spans="2:6" ht="14" x14ac:dyDescent="0.15">
      <c r="B19" s="48"/>
    </row>
    <row r="20" spans="2:6" ht="14" x14ac:dyDescent="0.15">
      <c r="B20" s="48"/>
    </row>
    <row r="21" spans="2:6" ht="14" x14ac:dyDescent="0.15">
      <c r="B21" s="48"/>
    </row>
    <row r="22" spans="2:6" ht="14" x14ac:dyDescent="0.15">
      <c r="B22" s="48"/>
    </row>
    <row r="23" spans="2:6" ht="14" x14ac:dyDescent="0.15">
      <c r="B23" s="48"/>
    </row>
    <row r="24" spans="2:6" ht="14" x14ac:dyDescent="0.15">
      <c r="B24" s="48"/>
    </row>
    <row r="25" spans="2:6" ht="14" x14ac:dyDescent="0.15">
      <c r="B25" s="48"/>
    </row>
    <row r="26" spans="2:6" ht="14" x14ac:dyDescent="0.15">
      <c r="B26" s="48"/>
    </row>
    <row r="27" spans="2:6" ht="14" x14ac:dyDescent="0.15">
      <c r="B27" s="48"/>
      <c r="D27" s="63" t="s">
        <v>634</v>
      </c>
      <c r="E27" s="56"/>
      <c r="F27" s="56"/>
    </row>
    <row r="28" spans="2:6" ht="20" customHeight="1" x14ac:dyDescent="0.15">
      <c r="B28" s="48"/>
      <c r="D28" s="3" t="s">
        <v>635</v>
      </c>
      <c r="E28" s="3" t="s">
        <v>636</v>
      </c>
      <c r="F28" s="3" t="s">
        <v>637</v>
      </c>
    </row>
    <row r="29" spans="2:6" ht="30" customHeight="1" x14ac:dyDescent="0.15">
      <c r="B29" s="48"/>
      <c r="D29" s="4" t="s">
        <v>638</v>
      </c>
      <c r="E29" s="6">
        <v>541909</v>
      </c>
      <c r="F29" s="4" t="s">
        <v>639</v>
      </c>
    </row>
    <row r="30" spans="2:6" ht="18" customHeight="1" x14ac:dyDescent="0.15">
      <c r="B30" s="48"/>
      <c r="D30" s="8" t="s">
        <v>640</v>
      </c>
      <c r="E30" s="10">
        <v>0</v>
      </c>
      <c r="F30" s="8" t="s">
        <v>641</v>
      </c>
    </row>
    <row r="31" spans="2:6" ht="18" customHeight="1" x14ac:dyDescent="0.15">
      <c r="B31" s="48"/>
      <c r="D31" s="4" t="s">
        <v>642</v>
      </c>
      <c r="E31" s="6">
        <v>0</v>
      </c>
      <c r="F31" s="4" t="s">
        <v>643</v>
      </c>
    </row>
    <row r="32" spans="2:6" ht="18" customHeight="1" x14ac:dyDescent="0.15">
      <c r="B32" s="48"/>
      <c r="D32" s="8" t="s">
        <v>644</v>
      </c>
      <c r="E32" s="10">
        <v>135080</v>
      </c>
      <c r="F32" s="8" t="s">
        <v>645</v>
      </c>
    </row>
    <row r="33" spans="2:6" ht="18" customHeight="1" x14ac:dyDescent="0.15">
      <c r="B33" s="48"/>
      <c r="D33" s="4" t="s">
        <v>646</v>
      </c>
      <c r="E33" s="6">
        <v>1454</v>
      </c>
      <c r="F33" s="4" t="s">
        <v>647</v>
      </c>
    </row>
    <row r="34" spans="2:6" ht="18" customHeight="1" x14ac:dyDescent="0.15">
      <c r="B34" s="48"/>
      <c r="D34" s="8" t="s">
        <v>648</v>
      </c>
      <c r="E34" s="10">
        <v>9288</v>
      </c>
      <c r="F34" s="8" t="s">
        <v>649</v>
      </c>
    </row>
    <row r="35" spans="2:6" ht="18" customHeight="1" x14ac:dyDescent="0.15">
      <c r="B35" s="48"/>
      <c r="D35" s="4" t="s">
        <v>650</v>
      </c>
      <c r="E35" s="6">
        <v>10624</v>
      </c>
      <c r="F35" s="4" t="s">
        <v>651</v>
      </c>
    </row>
    <row r="36" spans="2:6" ht="18" customHeight="1" x14ac:dyDescent="0.15">
      <c r="B36" s="48"/>
      <c r="D36" s="8" t="s">
        <v>652</v>
      </c>
      <c r="E36" s="10">
        <v>2517</v>
      </c>
      <c r="F36" s="8" t="s">
        <v>653</v>
      </c>
    </row>
    <row r="37" spans="2:6" ht="18" customHeight="1" x14ac:dyDescent="0.15">
      <c r="B37" s="48"/>
      <c r="D37" s="4" t="s">
        <v>654</v>
      </c>
      <c r="E37" s="6">
        <v>5268</v>
      </c>
      <c r="F37" s="4" t="s">
        <v>655</v>
      </c>
    </row>
    <row r="38" spans="2:6" ht="18" customHeight="1" x14ac:dyDescent="0.15">
      <c r="B38" s="48"/>
      <c r="D38" s="8" t="s">
        <v>656</v>
      </c>
      <c r="E38" s="10">
        <v>530104</v>
      </c>
      <c r="F38" s="8" t="s">
        <v>657</v>
      </c>
    </row>
    <row r="39" spans="2:6" ht="18" customHeight="1" x14ac:dyDescent="0.15">
      <c r="B39" s="48"/>
      <c r="D39" s="4" t="s">
        <v>658</v>
      </c>
      <c r="E39" s="6">
        <v>19960</v>
      </c>
      <c r="F39" s="4" t="s">
        <v>659</v>
      </c>
    </row>
    <row r="40" spans="2:6" ht="18" customHeight="1" x14ac:dyDescent="0.15">
      <c r="B40" s="48"/>
      <c r="D40" s="8" t="s">
        <v>660</v>
      </c>
      <c r="E40" s="10">
        <v>4338</v>
      </c>
      <c r="F40" s="8" t="s">
        <v>661</v>
      </c>
    </row>
    <row r="41" spans="2:6" ht="18" customHeight="1" x14ac:dyDescent="0.15">
      <c r="B41" s="48"/>
      <c r="D41" s="4" t="s">
        <v>662</v>
      </c>
      <c r="E41" s="6">
        <v>3922</v>
      </c>
      <c r="F41" s="4" t="s">
        <v>663</v>
      </c>
    </row>
    <row r="42" spans="2:6" ht="18" customHeight="1" x14ac:dyDescent="0.15">
      <c r="B42" s="48"/>
    </row>
    <row r="43" spans="2:6" ht="14" x14ac:dyDescent="0.15">
      <c r="B43" s="48"/>
      <c r="D43" s="85" t="s">
        <v>664</v>
      </c>
      <c r="E43" s="56"/>
    </row>
    <row r="44" spans="2:6" ht="20" customHeight="1" x14ac:dyDescent="0.15">
      <c r="B44" s="48"/>
      <c r="D44" s="34" t="s">
        <v>144</v>
      </c>
      <c r="E44" s="34" t="s">
        <v>665</v>
      </c>
    </row>
    <row r="45" spans="2:6" ht="14" x14ac:dyDescent="0.15">
      <c r="B45" s="48"/>
      <c r="D45" s="4" t="s">
        <v>666</v>
      </c>
      <c r="E45" s="35">
        <f>E38</f>
        <v>530104</v>
      </c>
    </row>
    <row r="46" spans="2:6" ht="14" x14ac:dyDescent="0.15">
      <c r="B46" s="48"/>
      <c r="D46" s="4" t="s">
        <v>667</v>
      </c>
      <c r="E46" s="35">
        <f>E29-E38</f>
        <v>11805</v>
      </c>
    </row>
    <row r="48" spans="2:6" x14ac:dyDescent="0.15">
      <c r="D48" s="84"/>
      <c r="E48" s="56"/>
      <c r="F48" s="56"/>
    </row>
    <row r="49" ht="18" customHeight="1" x14ac:dyDescent="0.15"/>
  </sheetData>
  <mergeCells count="10">
    <mergeCell ref="B1:B2"/>
    <mergeCell ref="D43:E43"/>
    <mergeCell ref="E7:F7"/>
    <mergeCell ref="D48:F48"/>
    <mergeCell ref="D1:F2"/>
    <mergeCell ref="D9:F9"/>
    <mergeCell ref="E5:F5"/>
    <mergeCell ref="D27:F27"/>
    <mergeCell ref="D4:F4"/>
    <mergeCell ref="E6:F6"/>
  </mergeCells>
  <hyperlinks>
    <hyperlink ref="B3" location="'Dashboard'!A1" display="1 · Dashboard" xr:uid="{00000000-0004-0000-0800-000000000000}"/>
    <hyperlink ref="B4" location="'Sales Analysis'!A1" display="2 · Sales Analysis" xr:uid="{00000000-0004-0000-0800-000001000000}"/>
    <hyperlink ref="B5" location="'Monthly Analysis'!A1" display="3 · Monthly Analysis" xr:uid="{00000000-0004-0000-0800-000002000000}"/>
    <hyperlink ref="B6" location="'Country Analysis'!A1" display="4 · Country Analysis" xr:uid="{00000000-0004-0000-0800-000003000000}"/>
    <hyperlink ref="B7" location="'Product Analysis'!A1" display="5 · Product Analysis" xr:uid="{00000000-0004-0000-0800-000004000000}"/>
    <hyperlink ref="B8" location="'Customer Analysis'!A1" display="6 · Customer Analysis" xr:uid="{00000000-0004-0000-0800-000005000000}"/>
    <hyperlink ref="B9" location="'Returns &amp; Cancellations'!A1" display="7 · Returns &amp; Cancellations" xr:uid="{00000000-0004-0000-0800-000006000000}"/>
    <hyperlink ref="B10" location="'Time Analysis'!A1" display="8 · Time Analysis" xr:uid="{00000000-0004-0000-0800-000007000000}"/>
    <hyperlink ref="B11" location="'Data Quality'!A1" display="9 · Data Quality" xr:uid="{00000000-0004-0000-0800-000008000000}"/>
    <hyperlink ref="B12" location="'Data Dictionary'!A1" display="10 · Data Dictionary" xr:uid="{00000000-0004-0000-0800-000009000000}"/>
    <hyperlink ref="B13" location="'Transaction Data'!A1" display="11 · Transaction Data" xr:uid="{00000000-0004-0000-0800-00000A000000}"/>
  </hyperlinks>
  <pageMargins left="0.75" right="0.75" top="1" bottom="1" header="0.5" footer="0.5"/>
  <pageSetup scale="52" orientation="landscape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8C8D"/>
    <pageSetUpPr fitToPage="1"/>
  </sheetPr>
  <dimension ref="B1:E30"/>
  <sheetViews>
    <sheetView showGridLines="0" zoomScaleNormal="100" workbookViewId="0">
      <pane xSplit="3" ySplit="2" topLeftCell="D3" activePane="bottomRight" state="frozen"/>
      <selection pane="topRight"/>
      <selection pane="bottomLeft"/>
      <selection pane="bottomRight" activeCell="B11" sqref="B11"/>
    </sheetView>
  </sheetViews>
  <sheetFormatPr baseColWidth="10" defaultColWidth="8.83203125" defaultRowHeight="13" x14ac:dyDescent="0.15"/>
  <cols>
    <col min="1" max="1" width="1.5" customWidth="1"/>
    <col min="2" max="2" width="26" customWidth="1"/>
    <col min="3" max="3" width="1.5" customWidth="1"/>
    <col min="4" max="4" width="28" customWidth="1"/>
    <col min="5" max="5" width="110" customWidth="1"/>
  </cols>
  <sheetData>
    <row r="1" spans="2:5" ht="20" customHeight="1" x14ac:dyDescent="0.15">
      <c r="B1" s="65" t="s">
        <v>0</v>
      </c>
      <c r="D1" s="71" t="s">
        <v>668</v>
      </c>
      <c r="E1" s="72"/>
    </row>
    <row r="2" spans="2:5" ht="20" customHeight="1" x14ac:dyDescent="0.15">
      <c r="B2" s="56"/>
      <c r="D2" s="72"/>
      <c r="E2" s="72"/>
    </row>
    <row r="3" spans="2:5" ht="20" customHeight="1" x14ac:dyDescent="0.15">
      <c r="B3" s="51" t="s">
        <v>2</v>
      </c>
    </row>
    <row r="4" spans="2:5" ht="20" customHeight="1" x14ac:dyDescent="0.15">
      <c r="B4" s="47" t="s">
        <v>3</v>
      </c>
      <c r="D4" s="61" t="s">
        <v>669</v>
      </c>
      <c r="E4" s="56"/>
    </row>
    <row r="5" spans="2:5" ht="20" customHeight="1" x14ac:dyDescent="0.15">
      <c r="B5" s="47" t="s">
        <v>10</v>
      </c>
      <c r="D5" s="1">
        <v>1</v>
      </c>
      <c r="E5" s="2" t="s">
        <v>670</v>
      </c>
    </row>
    <row r="6" spans="2:5" ht="20" customHeight="1" x14ac:dyDescent="0.15">
      <c r="B6" s="47" t="s">
        <v>11</v>
      </c>
      <c r="D6" s="1">
        <v>2</v>
      </c>
      <c r="E6" s="2" t="s">
        <v>671</v>
      </c>
    </row>
    <row r="7" spans="2:5" ht="20" customHeight="1" x14ac:dyDescent="0.15">
      <c r="B7" s="47" t="s">
        <v>12</v>
      </c>
      <c r="D7" s="1">
        <v>3</v>
      </c>
      <c r="E7" s="2" t="s">
        <v>672</v>
      </c>
    </row>
    <row r="8" spans="2:5" ht="20" customHeight="1" x14ac:dyDescent="0.15">
      <c r="B8" s="47" t="s">
        <v>17</v>
      </c>
      <c r="D8" s="1">
        <v>4</v>
      </c>
      <c r="E8" s="2" t="s">
        <v>673</v>
      </c>
    </row>
    <row r="9" spans="2:5" ht="20" customHeight="1" x14ac:dyDescent="0.15">
      <c r="B9" s="47" t="s">
        <v>18</v>
      </c>
      <c r="D9" s="1">
        <v>5</v>
      </c>
      <c r="E9" s="2" t="s">
        <v>674</v>
      </c>
    </row>
    <row r="10" spans="2:5" ht="20" customHeight="1" x14ac:dyDescent="0.15">
      <c r="B10" s="47" t="s">
        <v>19</v>
      </c>
    </row>
    <row r="11" spans="2:5" ht="20" customHeight="1" x14ac:dyDescent="0.15">
      <c r="B11" s="47" t="s">
        <v>20</v>
      </c>
      <c r="D11" s="63" t="s">
        <v>675</v>
      </c>
      <c r="E11" s="56"/>
    </row>
    <row r="12" spans="2:5" ht="20" customHeight="1" x14ac:dyDescent="0.15">
      <c r="B12" s="46" t="s">
        <v>21</v>
      </c>
      <c r="D12" s="3" t="s">
        <v>676</v>
      </c>
      <c r="E12" s="3" t="s">
        <v>677</v>
      </c>
    </row>
    <row r="13" spans="2:5" ht="30" customHeight="1" x14ac:dyDescent="0.15">
      <c r="B13" s="48" t="s">
        <v>22</v>
      </c>
      <c r="D13" s="36" t="s">
        <v>678</v>
      </c>
      <c r="E13" s="37" t="s">
        <v>679</v>
      </c>
    </row>
    <row r="14" spans="2:5" ht="21" customHeight="1" x14ac:dyDescent="0.15">
      <c r="B14" s="48"/>
      <c r="D14" s="38" t="s">
        <v>680</v>
      </c>
      <c r="E14" s="39" t="s">
        <v>681</v>
      </c>
    </row>
    <row r="15" spans="2:5" ht="36" customHeight="1" x14ac:dyDescent="0.15">
      <c r="B15" s="48"/>
      <c r="D15" s="36" t="s">
        <v>75</v>
      </c>
      <c r="E15" s="37" t="s">
        <v>682</v>
      </c>
    </row>
    <row r="16" spans="2:5" ht="36" customHeight="1" x14ac:dyDescent="0.15">
      <c r="B16" s="48"/>
      <c r="D16" s="38" t="s">
        <v>595</v>
      </c>
      <c r="E16" s="39" t="s">
        <v>683</v>
      </c>
    </row>
    <row r="17" spans="2:5" ht="36" customHeight="1" x14ac:dyDescent="0.15">
      <c r="B17" s="48"/>
      <c r="D17" s="36" t="s">
        <v>684</v>
      </c>
      <c r="E17" s="37" t="s">
        <v>685</v>
      </c>
    </row>
    <row r="18" spans="2:5" ht="21" customHeight="1" x14ac:dyDescent="0.15">
      <c r="B18" s="48"/>
      <c r="D18" s="38" t="s">
        <v>76</v>
      </c>
      <c r="E18" s="39" t="s">
        <v>686</v>
      </c>
    </row>
    <row r="19" spans="2:5" ht="21" customHeight="1" x14ac:dyDescent="0.15">
      <c r="B19" s="48"/>
      <c r="D19" s="36" t="s">
        <v>122</v>
      </c>
      <c r="E19" s="37" t="s">
        <v>687</v>
      </c>
    </row>
    <row r="20" spans="2:5" ht="21" customHeight="1" x14ac:dyDescent="0.15">
      <c r="B20" s="48"/>
      <c r="D20" s="38" t="s">
        <v>688</v>
      </c>
      <c r="E20" s="39" t="s">
        <v>689</v>
      </c>
    </row>
    <row r="21" spans="2:5" ht="21" customHeight="1" x14ac:dyDescent="0.15">
      <c r="B21" s="48"/>
      <c r="D21" s="36" t="s">
        <v>78</v>
      </c>
      <c r="E21" s="37" t="s">
        <v>690</v>
      </c>
    </row>
    <row r="22" spans="2:5" ht="21" customHeight="1" x14ac:dyDescent="0.15">
      <c r="B22" s="48"/>
      <c r="D22" s="38" t="s">
        <v>691</v>
      </c>
      <c r="E22" s="39" t="s">
        <v>692</v>
      </c>
    </row>
    <row r="23" spans="2:5" ht="21" customHeight="1" x14ac:dyDescent="0.15">
      <c r="B23" s="48"/>
      <c r="D23" s="36" t="s">
        <v>693</v>
      </c>
      <c r="E23" s="37" t="s">
        <v>694</v>
      </c>
    </row>
    <row r="24" spans="2:5" ht="36" customHeight="1" x14ac:dyDescent="0.15">
      <c r="B24" s="48"/>
      <c r="D24" s="38" t="s">
        <v>695</v>
      </c>
      <c r="E24" s="39" t="s">
        <v>696</v>
      </c>
    </row>
    <row r="25" spans="2:5" ht="21" customHeight="1" x14ac:dyDescent="0.15">
      <c r="B25" s="48"/>
      <c r="D25" s="36" t="s">
        <v>697</v>
      </c>
      <c r="E25" s="37" t="s">
        <v>698</v>
      </c>
    </row>
    <row r="26" spans="2:5" ht="21" customHeight="1" x14ac:dyDescent="0.15">
      <c r="B26" s="48"/>
      <c r="D26" s="38" t="s">
        <v>699</v>
      </c>
      <c r="E26" s="39" t="s">
        <v>700</v>
      </c>
    </row>
    <row r="27" spans="2:5" ht="21" customHeight="1" x14ac:dyDescent="0.15">
      <c r="B27" s="48"/>
      <c r="D27" s="36" t="s">
        <v>701</v>
      </c>
      <c r="E27" s="37" t="s">
        <v>702</v>
      </c>
    </row>
    <row r="28" spans="2:5" ht="36" customHeight="1" x14ac:dyDescent="0.15"/>
    <row r="29" spans="2:5" x14ac:dyDescent="0.15">
      <c r="D29" s="84"/>
      <c r="E29" s="56"/>
    </row>
    <row r="30" spans="2:5" ht="18" customHeight="1" x14ac:dyDescent="0.15"/>
  </sheetData>
  <mergeCells count="5">
    <mergeCell ref="D29:E29"/>
    <mergeCell ref="D1:E2"/>
    <mergeCell ref="D4:E4"/>
    <mergeCell ref="B1:B2"/>
    <mergeCell ref="D11:E11"/>
  </mergeCells>
  <hyperlinks>
    <hyperlink ref="B3" location="'Dashboard'!A1" display="1 · Dashboard" xr:uid="{00000000-0004-0000-0900-000000000000}"/>
    <hyperlink ref="B4" location="'Sales Analysis'!A1" display="2 · Sales Analysis" xr:uid="{00000000-0004-0000-0900-000001000000}"/>
    <hyperlink ref="B5" location="'Monthly Analysis'!A1" display="3 · Monthly Analysis" xr:uid="{00000000-0004-0000-0900-000002000000}"/>
    <hyperlink ref="B6" location="'Country Analysis'!A1" display="4 · Country Analysis" xr:uid="{00000000-0004-0000-0900-000003000000}"/>
    <hyperlink ref="B7" location="'Product Analysis'!A1" display="5 · Product Analysis" xr:uid="{00000000-0004-0000-0900-000004000000}"/>
    <hyperlink ref="B8" location="'Customer Analysis'!A1" display="6 · Customer Analysis" xr:uid="{00000000-0004-0000-0900-000005000000}"/>
    <hyperlink ref="B9" location="'Returns &amp; Cancellations'!A1" display="7 · Returns &amp; Cancellations" xr:uid="{00000000-0004-0000-0900-000006000000}"/>
    <hyperlink ref="B10" location="'Time Analysis'!A1" display="8 · Time Analysis" xr:uid="{00000000-0004-0000-0900-000007000000}"/>
    <hyperlink ref="B11" location="'Data Quality'!A1" display="9 · Data Quality" xr:uid="{00000000-0004-0000-0900-000008000000}"/>
    <hyperlink ref="B12" location="'Data Dictionary'!A1" display="10 · Data Dictionary" xr:uid="{00000000-0004-0000-0900-000009000000}"/>
    <hyperlink ref="B13" location="'Transaction Data'!A1" display="11 · Transaction Data" xr:uid="{00000000-0004-0000-0900-00000A000000}"/>
  </hyperlinks>
  <pageMargins left="0.75" right="0.75" top="1" bottom="1" header="0.5" footer="0.5"/>
  <pageSetup scale="65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8C8D"/>
    <pageSetUpPr fitToPage="1"/>
  </sheetPr>
  <dimension ref="B1:W1006"/>
  <sheetViews>
    <sheetView showGridLines="0" zoomScaleNormal="100" workbookViewId="0">
      <pane xSplit="3" ySplit="4" topLeftCell="D5" activePane="bottomRight" state="frozen"/>
      <selection pane="topRight"/>
      <selection pane="bottomLeft"/>
      <selection pane="bottomRight" activeCell="B12" sqref="B12"/>
    </sheetView>
  </sheetViews>
  <sheetFormatPr baseColWidth="10" defaultColWidth="8.83203125" defaultRowHeight="13" x14ac:dyDescent="0.15"/>
  <cols>
    <col min="1" max="1" width="1.5" customWidth="1"/>
    <col min="2" max="2" width="26" customWidth="1"/>
    <col min="3" max="3" width="1.5" customWidth="1"/>
    <col min="4" max="4" width="14.6640625" customWidth="1"/>
    <col min="5" max="5" width="12.6640625" customWidth="1"/>
    <col min="6" max="6" width="42.6640625" customWidth="1"/>
    <col min="7" max="7" width="12.6640625" customWidth="1"/>
    <col min="8" max="8" width="20.6640625" customWidth="1"/>
    <col min="9" max="9" width="13.6640625" customWidth="1"/>
    <col min="10" max="10" width="12.6640625" customWidth="1"/>
    <col min="11" max="11" width="22.6640625" customWidth="1"/>
    <col min="12" max="12" width="15.6640625" customWidth="1"/>
    <col min="13" max="13" width="28.6640625" customWidth="1"/>
    <col min="14" max="14" width="10.6640625" customWidth="1"/>
    <col min="15" max="15" width="12.6640625" customWidth="1"/>
    <col min="16" max="16" width="11.6640625" customWidth="1"/>
    <col min="17" max="17" width="14.6640625" customWidth="1"/>
    <col min="18" max="18" width="9.6640625" customWidth="1"/>
    <col min="19" max="19" width="16.6640625" customWidth="1"/>
    <col min="20" max="20" width="15.6640625" customWidth="1"/>
    <col min="21" max="21" width="14.6640625" customWidth="1"/>
    <col min="22" max="22" width="15.6640625" customWidth="1"/>
    <col min="23" max="23" width="13.6640625" customWidth="1"/>
  </cols>
  <sheetData>
    <row r="1" spans="2:23" ht="20" customHeight="1" x14ac:dyDescent="0.15">
      <c r="B1" s="65" t="s">
        <v>0</v>
      </c>
      <c r="D1" s="91" t="s">
        <v>703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</row>
    <row r="2" spans="2:23" ht="20" customHeight="1" x14ac:dyDescent="0.15">
      <c r="B2" s="56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 spans="2:23" ht="20" customHeight="1" x14ac:dyDescent="0.15">
      <c r="B3" s="51" t="s">
        <v>2</v>
      </c>
      <c r="D3" s="68" t="s">
        <v>704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</row>
    <row r="4" spans="2:23" ht="20" customHeight="1" x14ac:dyDescent="0.15">
      <c r="B4" s="47" t="s">
        <v>3</v>
      </c>
      <c r="D4" s="3" t="s">
        <v>705</v>
      </c>
      <c r="E4" s="3" t="s">
        <v>706</v>
      </c>
      <c r="F4" s="3" t="s">
        <v>164</v>
      </c>
      <c r="G4" s="3" t="s">
        <v>707</v>
      </c>
      <c r="H4" s="3" t="s">
        <v>708</v>
      </c>
      <c r="I4" s="3" t="s">
        <v>709</v>
      </c>
      <c r="J4" s="3" t="s">
        <v>710</v>
      </c>
      <c r="K4" s="3" t="s">
        <v>81</v>
      </c>
      <c r="L4" s="3" t="s">
        <v>711</v>
      </c>
      <c r="M4" s="3" t="s">
        <v>712</v>
      </c>
      <c r="N4" s="3" t="s">
        <v>713</v>
      </c>
      <c r="O4" s="3" t="s">
        <v>74</v>
      </c>
      <c r="P4" s="3" t="s">
        <v>125</v>
      </c>
      <c r="Q4" s="3" t="s">
        <v>714</v>
      </c>
      <c r="R4" s="3" t="s">
        <v>621</v>
      </c>
      <c r="S4" s="3" t="s">
        <v>715</v>
      </c>
      <c r="T4" s="3" t="s">
        <v>716</v>
      </c>
      <c r="U4" s="3" t="s">
        <v>717</v>
      </c>
      <c r="V4" s="3" t="s">
        <v>718</v>
      </c>
      <c r="W4" s="3" t="s">
        <v>719</v>
      </c>
    </row>
    <row r="5" spans="2:23" ht="20" customHeight="1" x14ac:dyDescent="0.15">
      <c r="B5" s="47" t="s">
        <v>10</v>
      </c>
      <c r="D5" s="40" t="s">
        <v>720</v>
      </c>
      <c r="E5" s="40" t="s">
        <v>168</v>
      </c>
      <c r="F5" s="40" t="s">
        <v>102</v>
      </c>
      <c r="G5" s="40">
        <v>6</v>
      </c>
      <c r="H5" s="41">
        <v>40513.351388888892</v>
      </c>
      <c r="I5" s="40">
        <v>2.5499999999999998</v>
      </c>
      <c r="J5" s="40">
        <v>17850</v>
      </c>
      <c r="K5" s="40" t="s">
        <v>71</v>
      </c>
      <c r="L5" s="42">
        <v>15.3</v>
      </c>
      <c r="M5" s="40" t="s">
        <v>721</v>
      </c>
      <c r="N5" s="40">
        <v>2010</v>
      </c>
      <c r="O5" s="40" t="s">
        <v>83</v>
      </c>
      <c r="P5" s="40" t="s">
        <v>126</v>
      </c>
      <c r="Q5" s="40" t="s">
        <v>624</v>
      </c>
      <c r="R5" s="40">
        <v>8</v>
      </c>
      <c r="S5" s="40" t="b">
        <v>0</v>
      </c>
      <c r="T5" s="40" t="b">
        <v>1</v>
      </c>
      <c r="U5" s="42">
        <f t="shared" ref="U5:U68" si="0">IF(T5,L5,0)</f>
        <v>15.3</v>
      </c>
      <c r="V5" s="42">
        <v>0</v>
      </c>
      <c r="W5" s="42">
        <v>15.3</v>
      </c>
    </row>
    <row r="6" spans="2:23" ht="20" customHeight="1" x14ac:dyDescent="0.15">
      <c r="B6" s="47" t="s">
        <v>11</v>
      </c>
      <c r="D6" s="43" t="s">
        <v>720</v>
      </c>
      <c r="E6" s="43" t="s">
        <v>722</v>
      </c>
      <c r="F6" s="43" t="s">
        <v>723</v>
      </c>
      <c r="G6" s="43">
        <v>6</v>
      </c>
      <c r="H6" s="44">
        <v>40513.351388888892</v>
      </c>
      <c r="I6" s="43">
        <v>3.39</v>
      </c>
      <c r="J6" s="43">
        <v>17850</v>
      </c>
      <c r="K6" s="43" t="s">
        <v>71</v>
      </c>
      <c r="L6" s="45">
        <v>20.34</v>
      </c>
      <c r="M6" s="43" t="s">
        <v>721</v>
      </c>
      <c r="N6" s="43">
        <v>2010</v>
      </c>
      <c r="O6" s="43" t="s">
        <v>83</v>
      </c>
      <c r="P6" s="43" t="s">
        <v>126</v>
      </c>
      <c r="Q6" s="43" t="s">
        <v>624</v>
      </c>
      <c r="R6" s="43">
        <v>8</v>
      </c>
      <c r="S6" s="43" t="b">
        <v>0</v>
      </c>
      <c r="T6" s="43" t="b">
        <v>1</v>
      </c>
      <c r="U6" s="45">
        <f t="shared" si="0"/>
        <v>20.34</v>
      </c>
      <c r="V6" s="45">
        <v>0</v>
      </c>
      <c r="W6" s="45">
        <v>20.34</v>
      </c>
    </row>
    <row r="7" spans="2:23" ht="20" customHeight="1" x14ac:dyDescent="0.15">
      <c r="B7" s="47" t="s">
        <v>12</v>
      </c>
      <c r="D7" s="40" t="s">
        <v>720</v>
      </c>
      <c r="E7" s="40" t="s">
        <v>724</v>
      </c>
      <c r="F7" s="40" t="s">
        <v>725</v>
      </c>
      <c r="G7" s="40">
        <v>8</v>
      </c>
      <c r="H7" s="41">
        <v>40513.351388888892</v>
      </c>
      <c r="I7" s="40">
        <v>2.75</v>
      </c>
      <c r="J7" s="40">
        <v>17850</v>
      </c>
      <c r="K7" s="40" t="s">
        <v>71</v>
      </c>
      <c r="L7" s="42">
        <v>22</v>
      </c>
      <c r="M7" s="40" t="s">
        <v>721</v>
      </c>
      <c r="N7" s="40">
        <v>2010</v>
      </c>
      <c r="O7" s="40" t="s">
        <v>83</v>
      </c>
      <c r="P7" s="40" t="s">
        <v>126</v>
      </c>
      <c r="Q7" s="40" t="s">
        <v>624</v>
      </c>
      <c r="R7" s="40">
        <v>8</v>
      </c>
      <c r="S7" s="40" t="b">
        <v>0</v>
      </c>
      <c r="T7" s="40" t="b">
        <v>1</v>
      </c>
      <c r="U7" s="42">
        <f t="shared" si="0"/>
        <v>22</v>
      </c>
      <c r="V7" s="42">
        <v>0</v>
      </c>
      <c r="W7" s="42">
        <v>22</v>
      </c>
    </row>
    <row r="8" spans="2:23" ht="20" customHeight="1" x14ac:dyDescent="0.15">
      <c r="B8" s="47" t="s">
        <v>17</v>
      </c>
      <c r="D8" s="43" t="s">
        <v>720</v>
      </c>
      <c r="E8" s="43" t="s">
        <v>399</v>
      </c>
      <c r="F8" s="43" t="s">
        <v>400</v>
      </c>
      <c r="G8" s="43">
        <v>6</v>
      </c>
      <c r="H8" s="44">
        <v>40513.351388888892</v>
      </c>
      <c r="I8" s="43">
        <v>3.39</v>
      </c>
      <c r="J8" s="43">
        <v>17850</v>
      </c>
      <c r="K8" s="43" t="s">
        <v>71</v>
      </c>
      <c r="L8" s="45">
        <v>20.34</v>
      </c>
      <c r="M8" s="43" t="s">
        <v>721</v>
      </c>
      <c r="N8" s="43">
        <v>2010</v>
      </c>
      <c r="O8" s="43" t="s">
        <v>83</v>
      </c>
      <c r="P8" s="43" t="s">
        <v>126</v>
      </c>
      <c r="Q8" s="43" t="s">
        <v>624</v>
      </c>
      <c r="R8" s="43">
        <v>8</v>
      </c>
      <c r="S8" s="43" t="b">
        <v>0</v>
      </c>
      <c r="T8" s="43" t="b">
        <v>1</v>
      </c>
      <c r="U8" s="45">
        <f t="shared" si="0"/>
        <v>20.34</v>
      </c>
      <c r="V8" s="45">
        <v>0</v>
      </c>
      <c r="W8" s="45">
        <v>20.34</v>
      </c>
    </row>
    <row r="9" spans="2:23" ht="20" customHeight="1" x14ac:dyDescent="0.15">
      <c r="B9" s="47" t="s">
        <v>18</v>
      </c>
      <c r="D9" s="40" t="s">
        <v>720</v>
      </c>
      <c r="E9" s="40" t="s">
        <v>305</v>
      </c>
      <c r="F9" s="40" t="s">
        <v>306</v>
      </c>
      <c r="G9" s="40">
        <v>6</v>
      </c>
      <c r="H9" s="41">
        <v>40513.351388888892</v>
      </c>
      <c r="I9" s="40">
        <v>3.39</v>
      </c>
      <c r="J9" s="40">
        <v>17850</v>
      </c>
      <c r="K9" s="40" t="s">
        <v>71</v>
      </c>
      <c r="L9" s="42">
        <v>20.34</v>
      </c>
      <c r="M9" s="40" t="s">
        <v>721</v>
      </c>
      <c r="N9" s="40">
        <v>2010</v>
      </c>
      <c r="O9" s="40" t="s">
        <v>83</v>
      </c>
      <c r="P9" s="40" t="s">
        <v>126</v>
      </c>
      <c r="Q9" s="40" t="s">
        <v>624</v>
      </c>
      <c r="R9" s="40">
        <v>8</v>
      </c>
      <c r="S9" s="40" t="b">
        <v>0</v>
      </c>
      <c r="T9" s="40" t="b">
        <v>1</v>
      </c>
      <c r="U9" s="42">
        <f t="shared" si="0"/>
        <v>20.34</v>
      </c>
      <c r="V9" s="42">
        <v>0</v>
      </c>
      <c r="W9" s="42">
        <v>20.34</v>
      </c>
    </row>
    <row r="10" spans="2:23" ht="20" customHeight="1" x14ac:dyDescent="0.15">
      <c r="B10" s="47" t="s">
        <v>19</v>
      </c>
      <c r="D10" s="43" t="s">
        <v>720</v>
      </c>
      <c r="E10" s="43" t="s">
        <v>417</v>
      </c>
      <c r="F10" s="43" t="s">
        <v>418</v>
      </c>
      <c r="G10" s="43">
        <v>2</v>
      </c>
      <c r="H10" s="44">
        <v>40513.351388888892</v>
      </c>
      <c r="I10" s="43">
        <v>7.65</v>
      </c>
      <c r="J10" s="43">
        <v>17850</v>
      </c>
      <c r="K10" s="43" t="s">
        <v>71</v>
      </c>
      <c r="L10" s="45">
        <v>15.3</v>
      </c>
      <c r="M10" s="43" t="s">
        <v>721</v>
      </c>
      <c r="N10" s="43">
        <v>2010</v>
      </c>
      <c r="O10" s="43" t="s">
        <v>83</v>
      </c>
      <c r="P10" s="43" t="s">
        <v>126</v>
      </c>
      <c r="Q10" s="43" t="s">
        <v>624</v>
      </c>
      <c r="R10" s="43">
        <v>8</v>
      </c>
      <c r="S10" s="43" t="b">
        <v>0</v>
      </c>
      <c r="T10" s="43" t="b">
        <v>1</v>
      </c>
      <c r="U10" s="45">
        <f t="shared" si="0"/>
        <v>15.3</v>
      </c>
      <c r="V10" s="45">
        <v>0</v>
      </c>
      <c r="W10" s="45">
        <v>15.3</v>
      </c>
    </row>
    <row r="11" spans="2:23" ht="20" customHeight="1" x14ac:dyDescent="0.15">
      <c r="B11" s="47" t="s">
        <v>20</v>
      </c>
      <c r="D11" s="40" t="s">
        <v>720</v>
      </c>
      <c r="E11" s="40" t="s">
        <v>726</v>
      </c>
      <c r="F11" s="40" t="s">
        <v>727</v>
      </c>
      <c r="G11" s="40">
        <v>6</v>
      </c>
      <c r="H11" s="41">
        <v>40513.351388888892</v>
      </c>
      <c r="I11" s="40">
        <v>4.25</v>
      </c>
      <c r="J11" s="40">
        <v>17850</v>
      </c>
      <c r="K11" s="40" t="s">
        <v>71</v>
      </c>
      <c r="L11" s="42">
        <v>25.5</v>
      </c>
      <c r="M11" s="40" t="s">
        <v>721</v>
      </c>
      <c r="N11" s="40">
        <v>2010</v>
      </c>
      <c r="O11" s="40" t="s">
        <v>83</v>
      </c>
      <c r="P11" s="40" t="s">
        <v>126</v>
      </c>
      <c r="Q11" s="40" t="s">
        <v>624</v>
      </c>
      <c r="R11" s="40">
        <v>8</v>
      </c>
      <c r="S11" s="40" t="b">
        <v>0</v>
      </c>
      <c r="T11" s="40" t="b">
        <v>1</v>
      </c>
      <c r="U11" s="42">
        <f t="shared" si="0"/>
        <v>25.5</v>
      </c>
      <c r="V11" s="42">
        <v>0</v>
      </c>
      <c r="W11" s="42">
        <v>25.5</v>
      </c>
    </row>
    <row r="12" spans="2:23" ht="20" customHeight="1" x14ac:dyDescent="0.15">
      <c r="B12" s="47" t="s">
        <v>21</v>
      </c>
      <c r="D12" s="43" t="s">
        <v>728</v>
      </c>
      <c r="E12" s="43" t="s">
        <v>729</v>
      </c>
      <c r="F12" s="43" t="s">
        <v>730</v>
      </c>
      <c r="G12" s="43">
        <v>6</v>
      </c>
      <c r="H12" s="44">
        <v>40513.352777777778</v>
      </c>
      <c r="I12" s="43">
        <v>1.85</v>
      </c>
      <c r="J12" s="43">
        <v>17850</v>
      </c>
      <c r="K12" s="43" t="s">
        <v>71</v>
      </c>
      <c r="L12" s="45">
        <v>11.1</v>
      </c>
      <c r="M12" s="43" t="s">
        <v>721</v>
      </c>
      <c r="N12" s="43">
        <v>2010</v>
      </c>
      <c r="O12" s="43" t="s">
        <v>83</v>
      </c>
      <c r="P12" s="43" t="s">
        <v>126</v>
      </c>
      <c r="Q12" s="43" t="s">
        <v>624</v>
      </c>
      <c r="R12" s="43">
        <v>8</v>
      </c>
      <c r="S12" s="43" t="b">
        <v>0</v>
      </c>
      <c r="T12" s="43" t="b">
        <v>1</v>
      </c>
      <c r="U12" s="45">
        <f t="shared" si="0"/>
        <v>11.1</v>
      </c>
      <c r="V12" s="45">
        <v>0</v>
      </c>
      <c r="W12" s="45">
        <v>11.1</v>
      </c>
    </row>
    <row r="13" spans="2:23" ht="20" customHeight="1" x14ac:dyDescent="0.15">
      <c r="B13" s="52" t="s">
        <v>22</v>
      </c>
      <c r="D13" s="40" t="s">
        <v>728</v>
      </c>
      <c r="E13" s="40" t="s">
        <v>731</v>
      </c>
      <c r="F13" s="40" t="s">
        <v>732</v>
      </c>
      <c r="G13" s="40">
        <v>6</v>
      </c>
      <c r="H13" s="41">
        <v>40513.352777777778</v>
      </c>
      <c r="I13" s="40">
        <v>1.85</v>
      </c>
      <c r="J13" s="40">
        <v>17850</v>
      </c>
      <c r="K13" s="40" t="s">
        <v>71</v>
      </c>
      <c r="L13" s="42">
        <v>11.1</v>
      </c>
      <c r="M13" s="40" t="s">
        <v>721</v>
      </c>
      <c r="N13" s="40">
        <v>2010</v>
      </c>
      <c r="O13" s="40" t="s">
        <v>83</v>
      </c>
      <c r="P13" s="40" t="s">
        <v>126</v>
      </c>
      <c r="Q13" s="40" t="s">
        <v>624</v>
      </c>
      <c r="R13" s="40">
        <v>8</v>
      </c>
      <c r="S13" s="40" t="b">
        <v>0</v>
      </c>
      <c r="T13" s="40" t="b">
        <v>1</v>
      </c>
      <c r="U13" s="42">
        <f t="shared" si="0"/>
        <v>11.1</v>
      </c>
      <c r="V13" s="42">
        <v>0</v>
      </c>
      <c r="W13" s="42">
        <v>11.1</v>
      </c>
    </row>
    <row r="14" spans="2:23" ht="20" customHeight="1" x14ac:dyDescent="0.15">
      <c r="D14" s="43" t="s">
        <v>733</v>
      </c>
      <c r="E14" s="43" t="s">
        <v>177</v>
      </c>
      <c r="F14" s="43" t="s">
        <v>178</v>
      </c>
      <c r="G14" s="43">
        <v>32</v>
      </c>
      <c r="H14" s="44">
        <v>40513.356944444437</v>
      </c>
      <c r="I14" s="43">
        <v>1.69</v>
      </c>
      <c r="J14" s="43">
        <v>13047</v>
      </c>
      <c r="K14" s="43" t="s">
        <v>71</v>
      </c>
      <c r="L14" s="45">
        <v>54.08</v>
      </c>
      <c r="M14" s="43" t="s">
        <v>721</v>
      </c>
      <c r="N14" s="43">
        <v>2010</v>
      </c>
      <c r="O14" s="43" t="s">
        <v>83</v>
      </c>
      <c r="P14" s="43" t="s">
        <v>126</v>
      </c>
      <c r="Q14" s="43" t="s">
        <v>624</v>
      </c>
      <c r="R14" s="43">
        <v>8</v>
      </c>
      <c r="S14" s="43" t="b">
        <v>0</v>
      </c>
      <c r="T14" s="43" t="b">
        <v>1</v>
      </c>
      <c r="U14" s="45">
        <f t="shared" si="0"/>
        <v>54.08</v>
      </c>
      <c r="V14" s="45">
        <v>0</v>
      </c>
      <c r="W14" s="45">
        <v>54.08</v>
      </c>
    </row>
    <row r="15" spans="2:23" x14ac:dyDescent="0.15">
      <c r="D15" s="40" t="s">
        <v>733</v>
      </c>
      <c r="E15" s="40" t="s">
        <v>734</v>
      </c>
      <c r="F15" s="40" t="s">
        <v>735</v>
      </c>
      <c r="G15" s="40">
        <v>6</v>
      </c>
      <c r="H15" s="41">
        <v>40513.356944444437</v>
      </c>
      <c r="I15" s="40">
        <v>2.1</v>
      </c>
      <c r="J15" s="40">
        <v>13047</v>
      </c>
      <c r="K15" s="40" t="s">
        <v>71</v>
      </c>
      <c r="L15" s="42">
        <v>12.6</v>
      </c>
      <c r="M15" s="40" t="s">
        <v>721</v>
      </c>
      <c r="N15" s="40">
        <v>2010</v>
      </c>
      <c r="O15" s="40" t="s">
        <v>83</v>
      </c>
      <c r="P15" s="40" t="s">
        <v>126</v>
      </c>
      <c r="Q15" s="40" t="s">
        <v>624</v>
      </c>
      <c r="R15" s="40">
        <v>8</v>
      </c>
      <c r="S15" s="40" t="b">
        <v>0</v>
      </c>
      <c r="T15" s="40" t="b">
        <v>1</v>
      </c>
      <c r="U15" s="42">
        <f t="shared" si="0"/>
        <v>12.6</v>
      </c>
      <c r="V15" s="42">
        <v>0</v>
      </c>
      <c r="W15" s="42">
        <v>12.6</v>
      </c>
    </row>
    <row r="16" spans="2:23" x14ac:dyDescent="0.15">
      <c r="D16" s="43" t="s">
        <v>733</v>
      </c>
      <c r="E16" s="43" t="s">
        <v>736</v>
      </c>
      <c r="F16" s="43" t="s">
        <v>737</v>
      </c>
      <c r="G16" s="43">
        <v>6</v>
      </c>
      <c r="H16" s="44">
        <v>40513.356944444437</v>
      </c>
      <c r="I16" s="43">
        <v>2.1</v>
      </c>
      <c r="J16" s="43">
        <v>13047</v>
      </c>
      <c r="K16" s="43" t="s">
        <v>71</v>
      </c>
      <c r="L16" s="45">
        <v>12.6</v>
      </c>
      <c r="M16" s="43" t="s">
        <v>721</v>
      </c>
      <c r="N16" s="43">
        <v>2010</v>
      </c>
      <c r="O16" s="43" t="s">
        <v>83</v>
      </c>
      <c r="P16" s="43" t="s">
        <v>126</v>
      </c>
      <c r="Q16" s="43" t="s">
        <v>624</v>
      </c>
      <c r="R16" s="43">
        <v>8</v>
      </c>
      <c r="S16" s="43" t="b">
        <v>0</v>
      </c>
      <c r="T16" s="43" t="b">
        <v>1</v>
      </c>
      <c r="U16" s="45">
        <f t="shared" si="0"/>
        <v>12.6</v>
      </c>
      <c r="V16" s="45">
        <v>0</v>
      </c>
      <c r="W16" s="45">
        <v>12.6</v>
      </c>
    </row>
    <row r="17" spans="4:23" x14ac:dyDescent="0.15">
      <c r="D17" s="40" t="s">
        <v>733</v>
      </c>
      <c r="E17" s="40" t="s">
        <v>738</v>
      </c>
      <c r="F17" s="40" t="s">
        <v>739</v>
      </c>
      <c r="G17" s="40">
        <v>8</v>
      </c>
      <c r="H17" s="41">
        <v>40513.356944444437</v>
      </c>
      <c r="I17" s="40">
        <v>3.75</v>
      </c>
      <c r="J17" s="40">
        <v>13047</v>
      </c>
      <c r="K17" s="40" t="s">
        <v>71</v>
      </c>
      <c r="L17" s="42">
        <v>30</v>
      </c>
      <c r="M17" s="40" t="s">
        <v>721</v>
      </c>
      <c r="N17" s="40">
        <v>2010</v>
      </c>
      <c r="O17" s="40" t="s">
        <v>83</v>
      </c>
      <c r="P17" s="40" t="s">
        <v>126</v>
      </c>
      <c r="Q17" s="40" t="s">
        <v>624</v>
      </c>
      <c r="R17" s="40">
        <v>8</v>
      </c>
      <c r="S17" s="40" t="b">
        <v>0</v>
      </c>
      <c r="T17" s="40" t="b">
        <v>1</v>
      </c>
      <c r="U17" s="42">
        <f t="shared" si="0"/>
        <v>30</v>
      </c>
      <c r="V17" s="42">
        <v>0</v>
      </c>
      <c r="W17" s="42">
        <v>30</v>
      </c>
    </row>
    <row r="18" spans="4:23" x14ac:dyDescent="0.15">
      <c r="D18" s="43" t="s">
        <v>733</v>
      </c>
      <c r="E18" s="43" t="s">
        <v>740</v>
      </c>
      <c r="F18" s="43" t="s">
        <v>741</v>
      </c>
      <c r="G18" s="43">
        <v>6</v>
      </c>
      <c r="H18" s="44">
        <v>40513.356944444437</v>
      </c>
      <c r="I18" s="43">
        <v>1.65</v>
      </c>
      <c r="J18" s="43">
        <v>13047</v>
      </c>
      <c r="K18" s="43" t="s">
        <v>71</v>
      </c>
      <c r="L18" s="45">
        <v>9.8999999999999986</v>
      </c>
      <c r="M18" s="43" t="s">
        <v>721</v>
      </c>
      <c r="N18" s="43">
        <v>2010</v>
      </c>
      <c r="O18" s="43" t="s">
        <v>83</v>
      </c>
      <c r="P18" s="43" t="s">
        <v>126</v>
      </c>
      <c r="Q18" s="43" t="s">
        <v>624</v>
      </c>
      <c r="R18" s="43">
        <v>8</v>
      </c>
      <c r="S18" s="43" t="b">
        <v>0</v>
      </c>
      <c r="T18" s="43" t="b">
        <v>1</v>
      </c>
      <c r="U18" s="45">
        <f t="shared" si="0"/>
        <v>9.8999999999999986</v>
      </c>
      <c r="V18" s="45">
        <v>0</v>
      </c>
      <c r="W18" s="45">
        <v>9.8999999999999986</v>
      </c>
    </row>
    <row r="19" spans="4:23" x14ac:dyDescent="0.15">
      <c r="D19" s="40" t="s">
        <v>733</v>
      </c>
      <c r="E19" s="40" t="s">
        <v>742</v>
      </c>
      <c r="F19" s="40" t="s">
        <v>743</v>
      </c>
      <c r="G19" s="40">
        <v>6</v>
      </c>
      <c r="H19" s="41">
        <v>40513.356944444437</v>
      </c>
      <c r="I19" s="40">
        <v>4.25</v>
      </c>
      <c r="J19" s="40">
        <v>13047</v>
      </c>
      <c r="K19" s="40" t="s">
        <v>71</v>
      </c>
      <c r="L19" s="42">
        <v>25.5</v>
      </c>
      <c r="M19" s="40" t="s">
        <v>721</v>
      </c>
      <c r="N19" s="40">
        <v>2010</v>
      </c>
      <c r="O19" s="40" t="s">
        <v>83</v>
      </c>
      <c r="P19" s="40" t="s">
        <v>126</v>
      </c>
      <c r="Q19" s="40" t="s">
        <v>624</v>
      </c>
      <c r="R19" s="40">
        <v>8</v>
      </c>
      <c r="S19" s="40" t="b">
        <v>0</v>
      </c>
      <c r="T19" s="40" t="b">
        <v>1</v>
      </c>
      <c r="U19" s="42">
        <f t="shared" si="0"/>
        <v>25.5</v>
      </c>
      <c r="V19" s="42">
        <v>0</v>
      </c>
      <c r="W19" s="42">
        <v>25.5</v>
      </c>
    </row>
    <row r="20" spans="4:23" x14ac:dyDescent="0.15">
      <c r="D20" s="43" t="s">
        <v>733</v>
      </c>
      <c r="E20" s="43" t="s">
        <v>744</v>
      </c>
      <c r="F20" s="43" t="s">
        <v>745</v>
      </c>
      <c r="G20" s="43">
        <v>3</v>
      </c>
      <c r="H20" s="44">
        <v>40513.356944444437</v>
      </c>
      <c r="I20" s="43">
        <v>4.95</v>
      </c>
      <c r="J20" s="43">
        <v>13047</v>
      </c>
      <c r="K20" s="43" t="s">
        <v>71</v>
      </c>
      <c r="L20" s="45">
        <v>14.85</v>
      </c>
      <c r="M20" s="43" t="s">
        <v>721</v>
      </c>
      <c r="N20" s="43">
        <v>2010</v>
      </c>
      <c r="O20" s="43" t="s">
        <v>83</v>
      </c>
      <c r="P20" s="43" t="s">
        <v>126</v>
      </c>
      <c r="Q20" s="43" t="s">
        <v>624</v>
      </c>
      <c r="R20" s="43">
        <v>8</v>
      </c>
      <c r="S20" s="43" t="b">
        <v>0</v>
      </c>
      <c r="T20" s="43" t="b">
        <v>1</v>
      </c>
      <c r="U20" s="45">
        <f t="shared" si="0"/>
        <v>14.85</v>
      </c>
      <c r="V20" s="45">
        <v>0</v>
      </c>
      <c r="W20" s="45">
        <v>14.85</v>
      </c>
    </row>
    <row r="21" spans="4:23" x14ac:dyDescent="0.15">
      <c r="D21" s="40" t="s">
        <v>733</v>
      </c>
      <c r="E21" s="40" t="s">
        <v>441</v>
      </c>
      <c r="F21" s="40" t="s">
        <v>442</v>
      </c>
      <c r="G21" s="40">
        <v>2</v>
      </c>
      <c r="H21" s="41">
        <v>40513.356944444437</v>
      </c>
      <c r="I21" s="40">
        <v>9.9499999999999993</v>
      </c>
      <c r="J21" s="40">
        <v>13047</v>
      </c>
      <c r="K21" s="40" t="s">
        <v>71</v>
      </c>
      <c r="L21" s="42">
        <v>19.899999999999999</v>
      </c>
      <c r="M21" s="40" t="s">
        <v>721</v>
      </c>
      <c r="N21" s="40">
        <v>2010</v>
      </c>
      <c r="O21" s="40" t="s">
        <v>83</v>
      </c>
      <c r="P21" s="40" t="s">
        <v>126</v>
      </c>
      <c r="Q21" s="40" t="s">
        <v>624</v>
      </c>
      <c r="R21" s="40">
        <v>8</v>
      </c>
      <c r="S21" s="40" t="b">
        <v>0</v>
      </c>
      <c r="T21" s="40" t="b">
        <v>1</v>
      </c>
      <c r="U21" s="42">
        <f t="shared" si="0"/>
        <v>19.899999999999999</v>
      </c>
      <c r="V21" s="42">
        <v>0</v>
      </c>
      <c r="W21" s="42">
        <v>19.899999999999999</v>
      </c>
    </row>
    <row r="22" spans="4:23" x14ac:dyDescent="0.15">
      <c r="D22" s="43" t="s">
        <v>733</v>
      </c>
      <c r="E22" s="43" t="s">
        <v>381</v>
      </c>
      <c r="F22" s="43" t="s">
        <v>382</v>
      </c>
      <c r="G22" s="43">
        <v>3</v>
      </c>
      <c r="H22" s="44">
        <v>40513.356944444437</v>
      </c>
      <c r="I22" s="43">
        <v>5.95</v>
      </c>
      <c r="J22" s="43">
        <v>13047</v>
      </c>
      <c r="K22" s="43" t="s">
        <v>71</v>
      </c>
      <c r="L22" s="45">
        <v>17.850000000000001</v>
      </c>
      <c r="M22" s="43" t="s">
        <v>721</v>
      </c>
      <c r="N22" s="43">
        <v>2010</v>
      </c>
      <c r="O22" s="43" t="s">
        <v>83</v>
      </c>
      <c r="P22" s="43" t="s">
        <v>126</v>
      </c>
      <c r="Q22" s="43" t="s">
        <v>624</v>
      </c>
      <c r="R22" s="43">
        <v>8</v>
      </c>
      <c r="S22" s="43" t="b">
        <v>0</v>
      </c>
      <c r="T22" s="43" t="b">
        <v>1</v>
      </c>
      <c r="U22" s="45">
        <f t="shared" si="0"/>
        <v>17.850000000000001</v>
      </c>
      <c r="V22" s="45">
        <v>0</v>
      </c>
      <c r="W22" s="45">
        <v>17.850000000000001</v>
      </c>
    </row>
    <row r="23" spans="4:23" x14ac:dyDescent="0.15">
      <c r="D23" s="40" t="s">
        <v>733</v>
      </c>
      <c r="E23" s="40" t="s">
        <v>481</v>
      </c>
      <c r="F23" s="40" t="s">
        <v>482</v>
      </c>
      <c r="G23" s="40">
        <v>3</v>
      </c>
      <c r="H23" s="41">
        <v>40513.356944444437</v>
      </c>
      <c r="I23" s="40">
        <v>5.95</v>
      </c>
      <c r="J23" s="40">
        <v>13047</v>
      </c>
      <c r="K23" s="40" t="s">
        <v>71</v>
      </c>
      <c r="L23" s="42">
        <v>17.850000000000001</v>
      </c>
      <c r="M23" s="40" t="s">
        <v>721</v>
      </c>
      <c r="N23" s="40">
        <v>2010</v>
      </c>
      <c r="O23" s="40" t="s">
        <v>83</v>
      </c>
      <c r="P23" s="40" t="s">
        <v>126</v>
      </c>
      <c r="Q23" s="40" t="s">
        <v>624</v>
      </c>
      <c r="R23" s="40">
        <v>8</v>
      </c>
      <c r="S23" s="40" t="b">
        <v>0</v>
      </c>
      <c r="T23" s="40" t="b">
        <v>1</v>
      </c>
      <c r="U23" s="42">
        <f t="shared" si="0"/>
        <v>17.850000000000001</v>
      </c>
      <c r="V23" s="42">
        <v>0</v>
      </c>
      <c r="W23" s="42">
        <v>17.850000000000001</v>
      </c>
    </row>
    <row r="24" spans="4:23" x14ac:dyDescent="0.15">
      <c r="D24" s="43" t="s">
        <v>733</v>
      </c>
      <c r="E24" s="43" t="s">
        <v>746</v>
      </c>
      <c r="F24" s="43" t="s">
        <v>747</v>
      </c>
      <c r="G24" s="43">
        <v>4</v>
      </c>
      <c r="H24" s="44">
        <v>40513.356944444437</v>
      </c>
      <c r="I24" s="43">
        <v>7.95</v>
      </c>
      <c r="J24" s="43">
        <v>13047</v>
      </c>
      <c r="K24" s="43" t="s">
        <v>71</v>
      </c>
      <c r="L24" s="45">
        <v>31.8</v>
      </c>
      <c r="M24" s="43" t="s">
        <v>721</v>
      </c>
      <c r="N24" s="43">
        <v>2010</v>
      </c>
      <c r="O24" s="43" t="s">
        <v>83</v>
      </c>
      <c r="P24" s="43" t="s">
        <v>126</v>
      </c>
      <c r="Q24" s="43" t="s">
        <v>624</v>
      </c>
      <c r="R24" s="43">
        <v>8</v>
      </c>
      <c r="S24" s="43" t="b">
        <v>0</v>
      </c>
      <c r="T24" s="43" t="b">
        <v>1</v>
      </c>
      <c r="U24" s="45">
        <f t="shared" si="0"/>
        <v>31.8</v>
      </c>
      <c r="V24" s="45">
        <v>0</v>
      </c>
      <c r="W24" s="45">
        <v>31.8</v>
      </c>
    </row>
    <row r="25" spans="4:23" x14ac:dyDescent="0.15">
      <c r="D25" s="40" t="s">
        <v>733</v>
      </c>
      <c r="E25" s="40" t="s">
        <v>269</v>
      </c>
      <c r="F25" s="40" t="s">
        <v>270</v>
      </c>
      <c r="G25" s="40">
        <v>4</v>
      </c>
      <c r="H25" s="41">
        <v>40513.356944444437</v>
      </c>
      <c r="I25" s="40">
        <v>7.95</v>
      </c>
      <c r="J25" s="40">
        <v>13047</v>
      </c>
      <c r="K25" s="40" t="s">
        <v>71</v>
      </c>
      <c r="L25" s="42">
        <v>31.8</v>
      </c>
      <c r="M25" s="40" t="s">
        <v>721</v>
      </c>
      <c r="N25" s="40">
        <v>2010</v>
      </c>
      <c r="O25" s="40" t="s">
        <v>83</v>
      </c>
      <c r="P25" s="40" t="s">
        <v>126</v>
      </c>
      <c r="Q25" s="40" t="s">
        <v>624</v>
      </c>
      <c r="R25" s="40">
        <v>8</v>
      </c>
      <c r="S25" s="40" t="b">
        <v>0</v>
      </c>
      <c r="T25" s="40" t="b">
        <v>1</v>
      </c>
      <c r="U25" s="42">
        <f t="shared" si="0"/>
        <v>31.8</v>
      </c>
      <c r="V25" s="42">
        <v>0</v>
      </c>
      <c r="W25" s="42">
        <v>31.8</v>
      </c>
    </row>
    <row r="26" spans="4:23" x14ac:dyDescent="0.15">
      <c r="D26" s="43" t="s">
        <v>748</v>
      </c>
      <c r="E26" s="43" t="s">
        <v>193</v>
      </c>
      <c r="F26" s="43" t="s">
        <v>194</v>
      </c>
      <c r="G26" s="43">
        <v>6</v>
      </c>
      <c r="H26" s="44">
        <v>40513.356944444437</v>
      </c>
      <c r="I26" s="43">
        <v>4.25</v>
      </c>
      <c r="J26" s="43">
        <v>13047</v>
      </c>
      <c r="K26" s="43" t="s">
        <v>71</v>
      </c>
      <c r="L26" s="45">
        <v>25.5</v>
      </c>
      <c r="M26" s="43" t="s">
        <v>721</v>
      </c>
      <c r="N26" s="43">
        <v>2010</v>
      </c>
      <c r="O26" s="43" t="s">
        <v>83</v>
      </c>
      <c r="P26" s="43" t="s">
        <v>126</v>
      </c>
      <c r="Q26" s="43" t="s">
        <v>624</v>
      </c>
      <c r="R26" s="43">
        <v>8</v>
      </c>
      <c r="S26" s="43" t="b">
        <v>0</v>
      </c>
      <c r="T26" s="43" t="b">
        <v>1</v>
      </c>
      <c r="U26" s="45">
        <f t="shared" si="0"/>
        <v>25.5</v>
      </c>
      <c r="V26" s="45">
        <v>0</v>
      </c>
      <c r="W26" s="45">
        <v>25.5</v>
      </c>
    </row>
    <row r="27" spans="4:23" x14ac:dyDescent="0.15">
      <c r="D27" s="40" t="s">
        <v>748</v>
      </c>
      <c r="E27" s="40" t="s">
        <v>749</v>
      </c>
      <c r="F27" s="40" t="s">
        <v>750</v>
      </c>
      <c r="G27" s="40">
        <v>3</v>
      </c>
      <c r="H27" s="41">
        <v>40513.356944444437</v>
      </c>
      <c r="I27" s="40">
        <v>4.95</v>
      </c>
      <c r="J27" s="40">
        <v>13047</v>
      </c>
      <c r="K27" s="40" t="s">
        <v>71</v>
      </c>
      <c r="L27" s="42">
        <v>14.85</v>
      </c>
      <c r="M27" s="40" t="s">
        <v>721</v>
      </c>
      <c r="N27" s="40">
        <v>2010</v>
      </c>
      <c r="O27" s="40" t="s">
        <v>83</v>
      </c>
      <c r="P27" s="40" t="s">
        <v>126</v>
      </c>
      <c r="Q27" s="40" t="s">
        <v>624</v>
      </c>
      <c r="R27" s="40">
        <v>8</v>
      </c>
      <c r="S27" s="40" t="b">
        <v>0</v>
      </c>
      <c r="T27" s="40" t="b">
        <v>1</v>
      </c>
      <c r="U27" s="42">
        <f t="shared" si="0"/>
        <v>14.85</v>
      </c>
      <c r="V27" s="42">
        <v>0</v>
      </c>
      <c r="W27" s="42">
        <v>14.85</v>
      </c>
    </row>
    <row r="28" spans="4:23" x14ac:dyDescent="0.15">
      <c r="D28" s="43" t="s">
        <v>748</v>
      </c>
      <c r="E28" s="43" t="s">
        <v>751</v>
      </c>
      <c r="F28" s="43" t="s">
        <v>752</v>
      </c>
      <c r="G28" s="43">
        <v>3</v>
      </c>
      <c r="H28" s="44">
        <v>40513.356944444437</v>
      </c>
      <c r="I28" s="43">
        <v>4.95</v>
      </c>
      <c r="J28" s="43">
        <v>13047</v>
      </c>
      <c r="K28" s="43" t="s">
        <v>71</v>
      </c>
      <c r="L28" s="45">
        <v>14.85</v>
      </c>
      <c r="M28" s="43" t="s">
        <v>721</v>
      </c>
      <c r="N28" s="43">
        <v>2010</v>
      </c>
      <c r="O28" s="43" t="s">
        <v>83</v>
      </c>
      <c r="P28" s="43" t="s">
        <v>126</v>
      </c>
      <c r="Q28" s="43" t="s">
        <v>624</v>
      </c>
      <c r="R28" s="43">
        <v>8</v>
      </c>
      <c r="S28" s="43" t="b">
        <v>0</v>
      </c>
      <c r="T28" s="43" t="b">
        <v>1</v>
      </c>
      <c r="U28" s="45">
        <f t="shared" si="0"/>
        <v>14.85</v>
      </c>
      <c r="V28" s="45">
        <v>0</v>
      </c>
      <c r="W28" s="45">
        <v>14.85</v>
      </c>
    </row>
    <row r="29" spans="4:23" x14ac:dyDescent="0.15">
      <c r="D29" s="40" t="s">
        <v>748</v>
      </c>
      <c r="E29" s="40" t="s">
        <v>753</v>
      </c>
      <c r="F29" s="40" t="s">
        <v>754</v>
      </c>
      <c r="G29" s="40">
        <v>3</v>
      </c>
      <c r="H29" s="41">
        <v>40513.356944444437</v>
      </c>
      <c r="I29" s="40">
        <v>4.95</v>
      </c>
      <c r="J29" s="40">
        <v>13047</v>
      </c>
      <c r="K29" s="40" t="s">
        <v>71</v>
      </c>
      <c r="L29" s="42">
        <v>14.85</v>
      </c>
      <c r="M29" s="40" t="s">
        <v>721</v>
      </c>
      <c r="N29" s="40">
        <v>2010</v>
      </c>
      <c r="O29" s="40" t="s">
        <v>83</v>
      </c>
      <c r="P29" s="40" t="s">
        <v>126</v>
      </c>
      <c r="Q29" s="40" t="s">
        <v>624</v>
      </c>
      <c r="R29" s="40">
        <v>8</v>
      </c>
      <c r="S29" s="40" t="b">
        <v>0</v>
      </c>
      <c r="T29" s="40" t="b">
        <v>1</v>
      </c>
      <c r="U29" s="42">
        <f t="shared" si="0"/>
        <v>14.85</v>
      </c>
      <c r="V29" s="42">
        <v>0</v>
      </c>
      <c r="W29" s="42">
        <v>14.85</v>
      </c>
    </row>
    <row r="30" spans="4:23" x14ac:dyDescent="0.15">
      <c r="D30" s="43" t="s">
        <v>755</v>
      </c>
      <c r="E30" s="43" t="s">
        <v>756</v>
      </c>
      <c r="F30" s="43" t="s">
        <v>757</v>
      </c>
      <c r="G30" s="43">
        <v>3</v>
      </c>
      <c r="H30" s="44">
        <v>40513.357638888891</v>
      </c>
      <c r="I30" s="43">
        <v>5.95</v>
      </c>
      <c r="J30" s="43">
        <v>13047</v>
      </c>
      <c r="K30" s="43" t="s">
        <v>71</v>
      </c>
      <c r="L30" s="45">
        <v>17.850000000000001</v>
      </c>
      <c r="M30" s="43" t="s">
        <v>721</v>
      </c>
      <c r="N30" s="43">
        <v>2010</v>
      </c>
      <c r="O30" s="43" t="s">
        <v>83</v>
      </c>
      <c r="P30" s="43" t="s">
        <v>126</v>
      </c>
      <c r="Q30" s="43" t="s">
        <v>624</v>
      </c>
      <c r="R30" s="43">
        <v>8</v>
      </c>
      <c r="S30" s="43" t="b">
        <v>0</v>
      </c>
      <c r="T30" s="43" t="b">
        <v>1</v>
      </c>
      <c r="U30" s="45">
        <f t="shared" si="0"/>
        <v>17.850000000000001</v>
      </c>
      <c r="V30" s="45">
        <v>0</v>
      </c>
      <c r="W30" s="45">
        <v>17.850000000000001</v>
      </c>
    </row>
    <row r="31" spans="4:23" x14ac:dyDescent="0.15">
      <c r="D31" s="40" t="s">
        <v>758</v>
      </c>
      <c r="E31" s="40" t="s">
        <v>331</v>
      </c>
      <c r="F31" s="40" t="s">
        <v>332</v>
      </c>
      <c r="G31" s="40">
        <v>24</v>
      </c>
      <c r="H31" s="41">
        <v>40513.364583333343</v>
      </c>
      <c r="I31" s="40">
        <v>3.75</v>
      </c>
      <c r="J31" s="40">
        <v>12583</v>
      </c>
      <c r="K31" s="40" t="s">
        <v>48</v>
      </c>
      <c r="L31" s="42">
        <v>90</v>
      </c>
      <c r="M31" s="40" t="s">
        <v>721</v>
      </c>
      <c r="N31" s="40">
        <v>2010</v>
      </c>
      <c r="O31" s="40" t="s">
        <v>83</v>
      </c>
      <c r="P31" s="40" t="s">
        <v>126</v>
      </c>
      <c r="Q31" s="40" t="s">
        <v>624</v>
      </c>
      <c r="R31" s="40">
        <v>8</v>
      </c>
      <c r="S31" s="40" t="b">
        <v>0</v>
      </c>
      <c r="T31" s="40" t="b">
        <v>1</v>
      </c>
      <c r="U31" s="42">
        <f t="shared" si="0"/>
        <v>90</v>
      </c>
      <c r="V31" s="42">
        <v>0</v>
      </c>
      <c r="W31" s="42">
        <v>90</v>
      </c>
    </row>
    <row r="32" spans="4:23" x14ac:dyDescent="0.15">
      <c r="D32" s="43" t="s">
        <v>758</v>
      </c>
      <c r="E32" s="43" t="s">
        <v>217</v>
      </c>
      <c r="F32" s="43" t="s">
        <v>218</v>
      </c>
      <c r="G32" s="43">
        <v>24</v>
      </c>
      <c r="H32" s="44">
        <v>40513.364583333343</v>
      </c>
      <c r="I32" s="43">
        <v>3.75</v>
      </c>
      <c r="J32" s="43">
        <v>12583</v>
      </c>
      <c r="K32" s="43" t="s">
        <v>48</v>
      </c>
      <c r="L32" s="45">
        <v>90</v>
      </c>
      <c r="M32" s="43" t="s">
        <v>721</v>
      </c>
      <c r="N32" s="43">
        <v>2010</v>
      </c>
      <c r="O32" s="43" t="s">
        <v>83</v>
      </c>
      <c r="P32" s="43" t="s">
        <v>126</v>
      </c>
      <c r="Q32" s="43" t="s">
        <v>624</v>
      </c>
      <c r="R32" s="43">
        <v>8</v>
      </c>
      <c r="S32" s="43" t="b">
        <v>0</v>
      </c>
      <c r="T32" s="43" t="b">
        <v>1</v>
      </c>
      <c r="U32" s="45">
        <f t="shared" si="0"/>
        <v>90</v>
      </c>
      <c r="V32" s="45">
        <v>0</v>
      </c>
      <c r="W32" s="45">
        <v>90</v>
      </c>
    </row>
    <row r="33" spans="4:23" x14ac:dyDescent="0.15">
      <c r="D33" s="40" t="s">
        <v>758</v>
      </c>
      <c r="E33" s="40" t="s">
        <v>239</v>
      </c>
      <c r="F33" s="40" t="s">
        <v>240</v>
      </c>
      <c r="G33" s="40">
        <v>12</v>
      </c>
      <c r="H33" s="41">
        <v>40513.364583333343</v>
      </c>
      <c r="I33" s="40">
        <v>3.75</v>
      </c>
      <c r="J33" s="40">
        <v>12583</v>
      </c>
      <c r="K33" s="40" t="s">
        <v>48</v>
      </c>
      <c r="L33" s="42">
        <v>45</v>
      </c>
      <c r="M33" s="40" t="s">
        <v>721</v>
      </c>
      <c r="N33" s="40">
        <v>2010</v>
      </c>
      <c r="O33" s="40" t="s">
        <v>83</v>
      </c>
      <c r="P33" s="40" t="s">
        <v>126</v>
      </c>
      <c r="Q33" s="40" t="s">
        <v>624</v>
      </c>
      <c r="R33" s="40">
        <v>8</v>
      </c>
      <c r="S33" s="40" t="b">
        <v>0</v>
      </c>
      <c r="T33" s="40" t="b">
        <v>1</v>
      </c>
      <c r="U33" s="42">
        <f t="shared" si="0"/>
        <v>45</v>
      </c>
      <c r="V33" s="42">
        <v>0</v>
      </c>
      <c r="W33" s="42">
        <v>45</v>
      </c>
    </row>
    <row r="34" spans="4:23" x14ac:dyDescent="0.15">
      <c r="D34" s="43" t="s">
        <v>758</v>
      </c>
      <c r="E34" s="43" t="s">
        <v>759</v>
      </c>
      <c r="F34" s="43" t="s">
        <v>760</v>
      </c>
      <c r="G34" s="43">
        <v>12</v>
      </c>
      <c r="H34" s="44">
        <v>40513.364583333343</v>
      </c>
      <c r="I34" s="43">
        <v>0.85</v>
      </c>
      <c r="J34" s="43">
        <v>12583</v>
      </c>
      <c r="K34" s="43" t="s">
        <v>48</v>
      </c>
      <c r="L34" s="45">
        <v>10.199999999999999</v>
      </c>
      <c r="M34" s="43" t="s">
        <v>721</v>
      </c>
      <c r="N34" s="43">
        <v>2010</v>
      </c>
      <c r="O34" s="43" t="s">
        <v>83</v>
      </c>
      <c r="P34" s="43" t="s">
        <v>126</v>
      </c>
      <c r="Q34" s="43" t="s">
        <v>624</v>
      </c>
      <c r="R34" s="43">
        <v>8</v>
      </c>
      <c r="S34" s="43" t="b">
        <v>0</v>
      </c>
      <c r="T34" s="43" t="b">
        <v>1</v>
      </c>
      <c r="U34" s="45">
        <f t="shared" si="0"/>
        <v>10.199999999999999</v>
      </c>
      <c r="V34" s="45">
        <v>0</v>
      </c>
      <c r="W34" s="45">
        <v>10.199999999999999</v>
      </c>
    </row>
    <row r="35" spans="4:23" x14ac:dyDescent="0.15">
      <c r="D35" s="40" t="s">
        <v>758</v>
      </c>
      <c r="E35" s="40" t="s">
        <v>761</v>
      </c>
      <c r="F35" s="40" t="s">
        <v>762</v>
      </c>
      <c r="G35" s="40">
        <v>24</v>
      </c>
      <c r="H35" s="41">
        <v>40513.364583333343</v>
      </c>
      <c r="I35" s="40">
        <v>0.65</v>
      </c>
      <c r="J35" s="40">
        <v>12583</v>
      </c>
      <c r="K35" s="40" t="s">
        <v>48</v>
      </c>
      <c r="L35" s="42">
        <v>15.6</v>
      </c>
      <c r="M35" s="40" t="s">
        <v>721</v>
      </c>
      <c r="N35" s="40">
        <v>2010</v>
      </c>
      <c r="O35" s="40" t="s">
        <v>83</v>
      </c>
      <c r="P35" s="40" t="s">
        <v>126</v>
      </c>
      <c r="Q35" s="40" t="s">
        <v>624</v>
      </c>
      <c r="R35" s="40">
        <v>8</v>
      </c>
      <c r="S35" s="40" t="b">
        <v>0</v>
      </c>
      <c r="T35" s="40" t="b">
        <v>1</v>
      </c>
      <c r="U35" s="42">
        <f t="shared" si="0"/>
        <v>15.6</v>
      </c>
      <c r="V35" s="42">
        <v>0</v>
      </c>
      <c r="W35" s="42">
        <v>15.6</v>
      </c>
    </row>
    <row r="36" spans="4:23" x14ac:dyDescent="0.15">
      <c r="D36" s="43" t="s">
        <v>758</v>
      </c>
      <c r="E36" s="43" t="s">
        <v>763</v>
      </c>
      <c r="F36" s="43" t="s">
        <v>764</v>
      </c>
      <c r="G36" s="43">
        <v>48</v>
      </c>
      <c r="H36" s="44">
        <v>40513.364583333343</v>
      </c>
      <c r="I36" s="43">
        <v>0.85</v>
      </c>
      <c r="J36" s="43">
        <v>12583</v>
      </c>
      <c r="K36" s="43" t="s">
        <v>48</v>
      </c>
      <c r="L36" s="45">
        <v>40.799999999999997</v>
      </c>
      <c r="M36" s="43" t="s">
        <v>721</v>
      </c>
      <c r="N36" s="43">
        <v>2010</v>
      </c>
      <c r="O36" s="43" t="s">
        <v>83</v>
      </c>
      <c r="P36" s="43" t="s">
        <v>126</v>
      </c>
      <c r="Q36" s="43" t="s">
        <v>624</v>
      </c>
      <c r="R36" s="43">
        <v>8</v>
      </c>
      <c r="S36" s="43" t="b">
        <v>0</v>
      </c>
      <c r="T36" s="43" t="b">
        <v>1</v>
      </c>
      <c r="U36" s="45">
        <f t="shared" si="0"/>
        <v>40.799999999999997</v>
      </c>
      <c r="V36" s="45">
        <v>0</v>
      </c>
      <c r="W36" s="45">
        <v>40.799999999999997</v>
      </c>
    </row>
    <row r="37" spans="4:23" x14ac:dyDescent="0.15">
      <c r="D37" s="40" t="s">
        <v>758</v>
      </c>
      <c r="E37" s="40" t="s">
        <v>765</v>
      </c>
      <c r="F37" s="40" t="s">
        <v>766</v>
      </c>
      <c r="G37" s="40">
        <v>24</v>
      </c>
      <c r="H37" s="41">
        <v>40513.364583333343</v>
      </c>
      <c r="I37" s="40">
        <v>1.25</v>
      </c>
      <c r="J37" s="40">
        <v>12583</v>
      </c>
      <c r="K37" s="40" t="s">
        <v>48</v>
      </c>
      <c r="L37" s="42">
        <v>30</v>
      </c>
      <c r="M37" s="40" t="s">
        <v>721</v>
      </c>
      <c r="N37" s="40">
        <v>2010</v>
      </c>
      <c r="O37" s="40" t="s">
        <v>83</v>
      </c>
      <c r="P37" s="40" t="s">
        <v>126</v>
      </c>
      <c r="Q37" s="40" t="s">
        <v>624</v>
      </c>
      <c r="R37" s="40">
        <v>8</v>
      </c>
      <c r="S37" s="40" t="b">
        <v>0</v>
      </c>
      <c r="T37" s="40" t="b">
        <v>1</v>
      </c>
      <c r="U37" s="42">
        <f t="shared" si="0"/>
        <v>30</v>
      </c>
      <c r="V37" s="42">
        <v>0</v>
      </c>
      <c r="W37" s="42">
        <v>30</v>
      </c>
    </row>
    <row r="38" spans="4:23" x14ac:dyDescent="0.15">
      <c r="D38" s="43" t="s">
        <v>758</v>
      </c>
      <c r="E38" s="43" t="s">
        <v>767</v>
      </c>
      <c r="F38" s="43" t="s">
        <v>768</v>
      </c>
      <c r="G38" s="43">
        <v>18</v>
      </c>
      <c r="H38" s="44">
        <v>40513.364583333343</v>
      </c>
      <c r="I38" s="43">
        <v>2.95</v>
      </c>
      <c r="J38" s="43">
        <v>12583</v>
      </c>
      <c r="K38" s="43" t="s">
        <v>48</v>
      </c>
      <c r="L38" s="45">
        <v>53.1</v>
      </c>
      <c r="M38" s="43" t="s">
        <v>721</v>
      </c>
      <c r="N38" s="43">
        <v>2010</v>
      </c>
      <c r="O38" s="43" t="s">
        <v>83</v>
      </c>
      <c r="P38" s="43" t="s">
        <v>126</v>
      </c>
      <c r="Q38" s="43" t="s">
        <v>624</v>
      </c>
      <c r="R38" s="43">
        <v>8</v>
      </c>
      <c r="S38" s="43" t="b">
        <v>0</v>
      </c>
      <c r="T38" s="43" t="b">
        <v>1</v>
      </c>
      <c r="U38" s="45">
        <f t="shared" si="0"/>
        <v>53.1</v>
      </c>
      <c r="V38" s="45">
        <v>0</v>
      </c>
      <c r="W38" s="45">
        <v>53.1</v>
      </c>
    </row>
    <row r="39" spans="4:23" x14ac:dyDescent="0.15">
      <c r="D39" s="40" t="s">
        <v>758</v>
      </c>
      <c r="E39" s="40" t="s">
        <v>267</v>
      </c>
      <c r="F39" s="40" t="s">
        <v>268</v>
      </c>
      <c r="G39" s="40">
        <v>24</v>
      </c>
      <c r="H39" s="41">
        <v>40513.364583333343</v>
      </c>
      <c r="I39" s="40">
        <v>2.95</v>
      </c>
      <c r="J39" s="40">
        <v>12583</v>
      </c>
      <c r="K39" s="40" t="s">
        <v>48</v>
      </c>
      <c r="L39" s="42">
        <v>70.800000000000011</v>
      </c>
      <c r="M39" s="40" t="s">
        <v>721</v>
      </c>
      <c r="N39" s="40">
        <v>2010</v>
      </c>
      <c r="O39" s="40" t="s">
        <v>83</v>
      </c>
      <c r="P39" s="40" t="s">
        <v>126</v>
      </c>
      <c r="Q39" s="40" t="s">
        <v>624</v>
      </c>
      <c r="R39" s="40">
        <v>8</v>
      </c>
      <c r="S39" s="40" t="b">
        <v>0</v>
      </c>
      <c r="T39" s="40" t="b">
        <v>1</v>
      </c>
      <c r="U39" s="42">
        <f t="shared" si="0"/>
        <v>70.800000000000011</v>
      </c>
      <c r="V39" s="42">
        <v>0</v>
      </c>
      <c r="W39" s="42">
        <v>70.800000000000011</v>
      </c>
    </row>
    <row r="40" spans="4:23" x14ac:dyDescent="0.15">
      <c r="D40" s="43" t="s">
        <v>758</v>
      </c>
      <c r="E40" s="43" t="s">
        <v>249</v>
      </c>
      <c r="F40" s="43" t="s">
        <v>250</v>
      </c>
      <c r="G40" s="43">
        <v>24</v>
      </c>
      <c r="H40" s="44">
        <v>40513.364583333343</v>
      </c>
      <c r="I40" s="43">
        <v>1.95</v>
      </c>
      <c r="J40" s="43">
        <v>12583</v>
      </c>
      <c r="K40" s="43" t="s">
        <v>48</v>
      </c>
      <c r="L40" s="45">
        <v>46.8</v>
      </c>
      <c r="M40" s="43" t="s">
        <v>721</v>
      </c>
      <c r="N40" s="43">
        <v>2010</v>
      </c>
      <c r="O40" s="43" t="s">
        <v>83</v>
      </c>
      <c r="P40" s="43" t="s">
        <v>126</v>
      </c>
      <c r="Q40" s="43" t="s">
        <v>624</v>
      </c>
      <c r="R40" s="43">
        <v>8</v>
      </c>
      <c r="S40" s="43" t="b">
        <v>0</v>
      </c>
      <c r="T40" s="43" t="b">
        <v>1</v>
      </c>
      <c r="U40" s="45">
        <f t="shared" si="0"/>
        <v>46.8</v>
      </c>
      <c r="V40" s="45">
        <v>0</v>
      </c>
      <c r="W40" s="45">
        <v>46.8</v>
      </c>
    </row>
    <row r="41" spans="4:23" x14ac:dyDescent="0.15">
      <c r="D41" s="40" t="s">
        <v>758</v>
      </c>
      <c r="E41" s="40" t="s">
        <v>329</v>
      </c>
      <c r="F41" s="40" t="s">
        <v>330</v>
      </c>
      <c r="G41" s="40">
        <v>24</v>
      </c>
      <c r="H41" s="41">
        <v>40513.364583333343</v>
      </c>
      <c r="I41" s="40">
        <v>1.95</v>
      </c>
      <c r="J41" s="40">
        <v>12583</v>
      </c>
      <c r="K41" s="40" t="s">
        <v>48</v>
      </c>
      <c r="L41" s="42">
        <v>46.8</v>
      </c>
      <c r="M41" s="40" t="s">
        <v>721</v>
      </c>
      <c r="N41" s="40">
        <v>2010</v>
      </c>
      <c r="O41" s="40" t="s">
        <v>83</v>
      </c>
      <c r="P41" s="40" t="s">
        <v>126</v>
      </c>
      <c r="Q41" s="40" t="s">
        <v>624</v>
      </c>
      <c r="R41" s="40">
        <v>8</v>
      </c>
      <c r="S41" s="40" t="b">
        <v>0</v>
      </c>
      <c r="T41" s="40" t="b">
        <v>1</v>
      </c>
      <c r="U41" s="42">
        <f t="shared" si="0"/>
        <v>46.8</v>
      </c>
      <c r="V41" s="42">
        <v>0</v>
      </c>
      <c r="W41" s="42">
        <v>46.8</v>
      </c>
    </row>
    <row r="42" spans="4:23" x14ac:dyDescent="0.15">
      <c r="D42" s="43" t="s">
        <v>758</v>
      </c>
      <c r="E42" s="43" t="s">
        <v>769</v>
      </c>
      <c r="F42" s="43" t="s">
        <v>770</v>
      </c>
      <c r="G42" s="43">
        <v>24</v>
      </c>
      <c r="H42" s="44">
        <v>40513.364583333343</v>
      </c>
      <c r="I42" s="43">
        <v>1.95</v>
      </c>
      <c r="J42" s="43">
        <v>12583</v>
      </c>
      <c r="K42" s="43" t="s">
        <v>48</v>
      </c>
      <c r="L42" s="45">
        <v>46.8</v>
      </c>
      <c r="M42" s="43" t="s">
        <v>721</v>
      </c>
      <c r="N42" s="43">
        <v>2010</v>
      </c>
      <c r="O42" s="43" t="s">
        <v>83</v>
      </c>
      <c r="P42" s="43" t="s">
        <v>126</v>
      </c>
      <c r="Q42" s="43" t="s">
        <v>624</v>
      </c>
      <c r="R42" s="43">
        <v>8</v>
      </c>
      <c r="S42" s="43" t="b">
        <v>0</v>
      </c>
      <c r="T42" s="43" t="b">
        <v>1</v>
      </c>
      <c r="U42" s="45">
        <f t="shared" si="0"/>
        <v>46.8</v>
      </c>
      <c r="V42" s="45">
        <v>0</v>
      </c>
      <c r="W42" s="45">
        <v>46.8</v>
      </c>
    </row>
    <row r="43" spans="4:23" x14ac:dyDescent="0.15">
      <c r="D43" s="40" t="s">
        <v>758</v>
      </c>
      <c r="E43" s="40" t="s">
        <v>771</v>
      </c>
      <c r="F43" s="40" t="s">
        <v>772</v>
      </c>
      <c r="G43" s="40">
        <v>20</v>
      </c>
      <c r="H43" s="41">
        <v>40513.364583333343</v>
      </c>
      <c r="I43" s="40">
        <v>0.85</v>
      </c>
      <c r="J43" s="40">
        <v>12583</v>
      </c>
      <c r="K43" s="40" t="s">
        <v>48</v>
      </c>
      <c r="L43" s="42">
        <v>17</v>
      </c>
      <c r="M43" s="40" t="s">
        <v>721</v>
      </c>
      <c r="N43" s="40">
        <v>2010</v>
      </c>
      <c r="O43" s="40" t="s">
        <v>83</v>
      </c>
      <c r="P43" s="40" t="s">
        <v>126</v>
      </c>
      <c r="Q43" s="40" t="s">
        <v>624</v>
      </c>
      <c r="R43" s="40">
        <v>8</v>
      </c>
      <c r="S43" s="40" t="b">
        <v>0</v>
      </c>
      <c r="T43" s="40" t="b">
        <v>1</v>
      </c>
      <c r="U43" s="42">
        <f t="shared" si="0"/>
        <v>17</v>
      </c>
      <c r="V43" s="42">
        <v>0</v>
      </c>
      <c r="W43" s="42">
        <v>17</v>
      </c>
    </row>
    <row r="44" spans="4:23" x14ac:dyDescent="0.15">
      <c r="D44" s="43" t="s">
        <v>758</v>
      </c>
      <c r="E44" s="43" t="s">
        <v>273</v>
      </c>
      <c r="F44" s="43" t="s">
        <v>274</v>
      </c>
      <c r="G44" s="43">
        <v>24</v>
      </c>
      <c r="H44" s="44">
        <v>40513.364583333343</v>
      </c>
      <c r="I44" s="43">
        <v>1.65</v>
      </c>
      <c r="J44" s="43">
        <v>12583</v>
      </c>
      <c r="K44" s="43" t="s">
        <v>48</v>
      </c>
      <c r="L44" s="45">
        <v>39.599999999999987</v>
      </c>
      <c r="M44" s="43" t="s">
        <v>721</v>
      </c>
      <c r="N44" s="43">
        <v>2010</v>
      </c>
      <c r="O44" s="43" t="s">
        <v>83</v>
      </c>
      <c r="P44" s="43" t="s">
        <v>126</v>
      </c>
      <c r="Q44" s="43" t="s">
        <v>624</v>
      </c>
      <c r="R44" s="43">
        <v>8</v>
      </c>
      <c r="S44" s="43" t="b">
        <v>0</v>
      </c>
      <c r="T44" s="43" t="b">
        <v>1</v>
      </c>
      <c r="U44" s="45">
        <f t="shared" si="0"/>
        <v>39.599999999999987</v>
      </c>
      <c r="V44" s="45">
        <v>0</v>
      </c>
      <c r="W44" s="45">
        <v>39.599999999999987</v>
      </c>
    </row>
    <row r="45" spans="4:23" x14ac:dyDescent="0.15">
      <c r="D45" s="40" t="s">
        <v>758</v>
      </c>
      <c r="E45" s="40" t="s">
        <v>413</v>
      </c>
      <c r="F45" s="40" t="s">
        <v>414</v>
      </c>
      <c r="G45" s="40">
        <v>24</v>
      </c>
      <c r="H45" s="41">
        <v>40513.364583333343</v>
      </c>
      <c r="I45" s="40">
        <v>2.95</v>
      </c>
      <c r="J45" s="40">
        <v>12583</v>
      </c>
      <c r="K45" s="40" t="s">
        <v>48</v>
      </c>
      <c r="L45" s="42">
        <v>70.800000000000011</v>
      </c>
      <c r="M45" s="40" t="s">
        <v>721</v>
      </c>
      <c r="N45" s="40">
        <v>2010</v>
      </c>
      <c r="O45" s="40" t="s">
        <v>83</v>
      </c>
      <c r="P45" s="40" t="s">
        <v>126</v>
      </c>
      <c r="Q45" s="40" t="s">
        <v>624</v>
      </c>
      <c r="R45" s="40">
        <v>8</v>
      </c>
      <c r="S45" s="40" t="b">
        <v>0</v>
      </c>
      <c r="T45" s="40" t="b">
        <v>1</v>
      </c>
      <c r="U45" s="42">
        <f t="shared" si="0"/>
        <v>70.800000000000011</v>
      </c>
      <c r="V45" s="42">
        <v>0</v>
      </c>
      <c r="W45" s="42">
        <v>70.800000000000011</v>
      </c>
    </row>
    <row r="46" spans="4:23" x14ac:dyDescent="0.15">
      <c r="D46" s="43" t="s">
        <v>758</v>
      </c>
      <c r="E46" s="43" t="s">
        <v>773</v>
      </c>
      <c r="F46" s="43" t="s">
        <v>774</v>
      </c>
      <c r="G46" s="43">
        <v>12</v>
      </c>
      <c r="H46" s="44">
        <v>40513.364583333343</v>
      </c>
      <c r="I46" s="43">
        <v>3.75</v>
      </c>
      <c r="J46" s="43">
        <v>12583</v>
      </c>
      <c r="K46" s="43" t="s">
        <v>48</v>
      </c>
      <c r="L46" s="45">
        <v>45</v>
      </c>
      <c r="M46" s="43" t="s">
        <v>721</v>
      </c>
      <c r="N46" s="43">
        <v>2010</v>
      </c>
      <c r="O46" s="43" t="s">
        <v>83</v>
      </c>
      <c r="P46" s="43" t="s">
        <v>126</v>
      </c>
      <c r="Q46" s="43" t="s">
        <v>624</v>
      </c>
      <c r="R46" s="43">
        <v>8</v>
      </c>
      <c r="S46" s="43" t="b">
        <v>0</v>
      </c>
      <c r="T46" s="43" t="b">
        <v>1</v>
      </c>
      <c r="U46" s="45">
        <f t="shared" si="0"/>
        <v>45</v>
      </c>
      <c r="V46" s="45">
        <v>0</v>
      </c>
      <c r="W46" s="45">
        <v>45</v>
      </c>
    </row>
    <row r="47" spans="4:23" x14ac:dyDescent="0.15">
      <c r="D47" s="40" t="s">
        <v>758</v>
      </c>
      <c r="E47" s="40" t="s">
        <v>775</v>
      </c>
      <c r="F47" s="40" t="s">
        <v>776</v>
      </c>
      <c r="G47" s="40">
        <v>24</v>
      </c>
      <c r="H47" s="41">
        <v>40513.364583333343</v>
      </c>
      <c r="I47" s="40">
        <v>0.42</v>
      </c>
      <c r="J47" s="40">
        <v>12583</v>
      </c>
      <c r="K47" s="40" t="s">
        <v>48</v>
      </c>
      <c r="L47" s="42">
        <v>10.08</v>
      </c>
      <c r="M47" s="40" t="s">
        <v>721</v>
      </c>
      <c r="N47" s="40">
        <v>2010</v>
      </c>
      <c r="O47" s="40" t="s">
        <v>83</v>
      </c>
      <c r="P47" s="40" t="s">
        <v>126</v>
      </c>
      <c r="Q47" s="40" t="s">
        <v>624</v>
      </c>
      <c r="R47" s="40">
        <v>8</v>
      </c>
      <c r="S47" s="40" t="b">
        <v>0</v>
      </c>
      <c r="T47" s="40" t="b">
        <v>1</v>
      </c>
      <c r="U47" s="42">
        <f t="shared" si="0"/>
        <v>10.08</v>
      </c>
      <c r="V47" s="42">
        <v>0</v>
      </c>
      <c r="W47" s="42">
        <v>10.08</v>
      </c>
    </row>
    <row r="48" spans="4:23" x14ac:dyDescent="0.15">
      <c r="D48" s="43" t="s">
        <v>758</v>
      </c>
      <c r="E48" s="43" t="s">
        <v>777</v>
      </c>
      <c r="F48" s="43" t="s">
        <v>778</v>
      </c>
      <c r="G48" s="43">
        <v>24</v>
      </c>
      <c r="H48" s="44">
        <v>40513.364583333343</v>
      </c>
      <c r="I48" s="43">
        <v>0.42</v>
      </c>
      <c r="J48" s="43">
        <v>12583</v>
      </c>
      <c r="K48" s="43" t="s">
        <v>48</v>
      </c>
      <c r="L48" s="45">
        <v>10.08</v>
      </c>
      <c r="M48" s="43" t="s">
        <v>721</v>
      </c>
      <c r="N48" s="43">
        <v>2010</v>
      </c>
      <c r="O48" s="43" t="s">
        <v>83</v>
      </c>
      <c r="P48" s="43" t="s">
        <v>126</v>
      </c>
      <c r="Q48" s="43" t="s">
        <v>624</v>
      </c>
      <c r="R48" s="43">
        <v>8</v>
      </c>
      <c r="S48" s="43" t="b">
        <v>0</v>
      </c>
      <c r="T48" s="43" t="b">
        <v>1</v>
      </c>
      <c r="U48" s="45">
        <f t="shared" si="0"/>
        <v>10.08</v>
      </c>
      <c r="V48" s="45">
        <v>0</v>
      </c>
      <c r="W48" s="45">
        <v>10.08</v>
      </c>
    </row>
    <row r="49" spans="4:23" x14ac:dyDescent="0.15">
      <c r="D49" s="40" t="s">
        <v>758</v>
      </c>
      <c r="E49" s="40" t="s">
        <v>385</v>
      </c>
      <c r="F49" s="40" t="s">
        <v>386</v>
      </c>
      <c r="G49" s="40">
        <v>36</v>
      </c>
      <c r="H49" s="41">
        <v>40513.364583333343</v>
      </c>
      <c r="I49" s="40">
        <v>0.65</v>
      </c>
      <c r="J49" s="40">
        <v>12583</v>
      </c>
      <c r="K49" s="40" t="s">
        <v>48</v>
      </c>
      <c r="L49" s="42">
        <v>23.4</v>
      </c>
      <c r="M49" s="40" t="s">
        <v>721</v>
      </c>
      <c r="N49" s="40">
        <v>2010</v>
      </c>
      <c r="O49" s="40" t="s">
        <v>83</v>
      </c>
      <c r="P49" s="40" t="s">
        <v>126</v>
      </c>
      <c r="Q49" s="40" t="s">
        <v>624</v>
      </c>
      <c r="R49" s="40">
        <v>8</v>
      </c>
      <c r="S49" s="40" t="b">
        <v>0</v>
      </c>
      <c r="T49" s="40" t="b">
        <v>1</v>
      </c>
      <c r="U49" s="42">
        <f t="shared" si="0"/>
        <v>23.4</v>
      </c>
      <c r="V49" s="42">
        <v>0</v>
      </c>
      <c r="W49" s="42">
        <v>23.4</v>
      </c>
    </row>
    <row r="50" spans="4:23" x14ac:dyDescent="0.15">
      <c r="D50" s="43" t="s">
        <v>758</v>
      </c>
      <c r="E50" s="43" t="s">
        <v>173</v>
      </c>
      <c r="F50" s="43" t="s">
        <v>107</v>
      </c>
      <c r="G50" s="43">
        <v>3</v>
      </c>
      <c r="H50" s="44">
        <v>40513.364583333343</v>
      </c>
      <c r="I50" s="43">
        <v>18</v>
      </c>
      <c r="J50" s="43">
        <v>12583</v>
      </c>
      <c r="K50" s="43" t="s">
        <v>48</v>
      </c>
      <c r="L50" s="45">
        <v>54</v>
      </c>
      <c r="M50" s="43" t="s">
        <v>721</v>
      </c>
      <c r="N50" s="43">
        <v>2010</v>
      </c>
      <c r="O50" s="43" t="s">
        <v>83</v>
      </c>
      <c r="P50" s="43" t="s">
        <v>126</v>
      </c>
      <c r="Q50" s="43" t="s">
        <v>624</v>
      </c>
      <c r="R50" s="43">
        <v>8</v>
      </c>
      <c r="S50" s="43" t="b">
        <v>0</v>
      </c>
      <c r="T50" s="43" t="b">
        <v>1</v>
      </c>
      <c r="U50" s="45">
        <f t="shared" si="0"/>
        <v>54</v>
      </c>
      <c r="V50" s="45">
        <v>0</v>
      </c>
      <c r="W50" s="45">
        <v>54</v>
      </c>
    </row>
    <row r="51" spans="4:23" x14ac:dyDescent="0.15">
      <c r="D51" s="40" t="s">
        <v>779</v>
      </c>
      <c r="E51" s="40" t="s">
        <v>175</v>
      </c>
      <c r="F51" s="40" t="s">
        <v>176</v>
      </c>
      <c r="G51" s="40">
        <v>80</v>
      </c>
      <c r="H51" s="41">
        <v>40513.375</v>
      </c>
      <c r="I51" s="40">
        <v>2.5499999999999998</v>
      </c>
      <c r="J51" s="40">
        <v>13748</v>
      </c>
      <c r="K51" s="40" t="s">
        <v>71</v>
      </c>
      <c r="L51" s="42">
        <v>204</v>
      </c>
      <c r="M51" s="40" t="s">
        <v>721</v>
      </c>
      <c r="N51" s="40">
        <v>2010</v>
      </c>
      <c r="O51" s="40" t="s">
        <v>83</v>
      </c>
      <c r="P51" s="40" t="s">
        <v>126</v>
      </c>
      <c r="Q51" s="40" t="s">
        <v>624</v>
      </c>
      <c r="R51" s="40">
        <v>9</v>
      </c>
      <c r="S51" s="40" t="b">
        <v>0</v>
      </c>
      <c r="T51" s="40" t="b">
        <v>1</v>
      </c>
      <c r="U51" s="42">
        <f t="shared" si="0"/>
        <v>204</v>
      </c>
      <c r="V51" s="42">
        <v>0</v>
      </c>
      <c r="W51" s="42">
        <v>204</v>
      </c>
    </row>
    <row r="52" spans="4:23" x14ac:dyDescent="0.15">
      <c r="D52" s="43" t="s">
        <v>780</v>
      </c>
      <c r="E52" s="43" t="s">
        <v>731</v>
      </c>
      <c r="F52" s="43" t="s">
        <v>732</v>
      </c>
      <c r="G52" s="43">
        <v>6</v>
      </c>
      <c r="H52" s="44">
        <v>40513.375694444447</v>
      </c>
      <c r="I52" s="43">
        <v>1.85</v>
      </c>
      <c r="J52" s="43">
        <v>17850</v>
      </c>
      <c r="K52" s="43" t="s">
        <v>71</v>
      </c>
      <c r="L52" s="45">
        <v>11.1</v>
      </c>
      <c r="M52" s="43" t="s">
        <v>721</v>
      </c>
      <c r="N52" s="43">
        <v>2010</v>
      </c>
      <c r="O52" s="43" t="s">
        <v>83</v>
      </c>
      <c r="P52" s="43" t="s">
        <v>126</v>
      </c>
      <c r="Q52" s="43" t="s">
        <v>624</v>
      </c>
      <c r="R52" s="43">
        <v>9</v>
      </c>
      <c r="S52" s="43" t="b">
        <v>0</v>
      </c>
      <c r="T52" s="43" t="b">
        <v>1</v>
      </c>
      <c r="U52" s="45">
        <f t="shared" si="0"/>
        <v>11.1</v>
      </c>
      <c r="V52" s="45">
        <v>0</v>
      </c>
      <c r="W52" s="45">
        <v>11.1</v>
      </c>
    </row>
    <row r="53" spans="4:23" x14ac:dyDescent="0.15">
      <c r="D53" s="40" t="s">
        <v>780</v>
      </c>
      <c r="E53" s="40" t="s">
        <v>729</v>
      </c>
      <c r="F53" s="40" t="s">
        <v>730</v>
      </c>
      <c r="G53" s="40">
        <v>6</v>
      </c>
      <c r="H53" s="41">
        <v>40513.375694444447</v>
      </c>
      <c r="I53" s="40">
        <v>1.85</v>
      </c>
      <c r="J53" s="40">
        <v>17850</v>
      </c>
      <c r="K53" s="40" t="s">
        <v>71</v>
      </c>
      <c r="L53" s="42">
        <v>11.1</v>
      </c>
      <c r="M53" s="40" t="s">
        <v>721</v>
      </c>
      <c r="N53" s="40">
        <v>2010</v>
      </c>
      <c r="O53" s="40" t="s">
        <v>83</v>
      </c>
      <c r="P53" s="40" t="s">
        <v>126</v>
      </c>
      <c r="Q53" s="40" t="s">
        <v>624</v>
      </c>
      <c r="R53" s="40">
        <v>9</v>
      </c>
      <c r="S53" s="40" t="b">
        <v>0</v>
      </c>
      <c r="T53" s="40" t="b">
        <v>1</v>
      </c>
      <c r="U53" s="42">
        <f t="shared" si="0"/>
        <v>11.1</v>
      </c>
      <c r="V53" s="42">
        <v>0</v>
      </c>
      <c r="W53" s="42">
        <v>11.1</v>
      </c>
    </row>
    <row r="54" spans="4:23" x14ac:dyDescent="0.15">
      <c r="D54" s="43" t="s">
        <v>781</v>
      </c>
      <c r="E54" s="43" t="s">
        <v>168</v>
      </c>
      <c r="F54" s="43" t="s">
        <v>102</v>
      </c>
      <c r="G54" s="43">
        <v>6</v>
      </c>
      <c r="H54" s="44">
        <v>40513.376388888893</v>
      </c>
      <c r="I54" s="43">
        <v>2.5499999999999998</v>
      </c>
      <c r="J54" s="43">
        <v>17850</v>
      </c>
      <c r="K54" s="43" t="s">
        <v>71</v>
      </c>
      <c r="L54" s="45">
        <v>15.3</v>
      </c>
      <c r="M54" s="43" t="s">
        <v>721</v>
      </c>
      <c r="N54" s="43">
        <v>2010</v>
      </c>
      <c r="O54" s="43" t="s">
        <v>83</v>
      </c>
      <c r="P54" s="43" t="s">
        <v>126</v>
      </c>
      <c r="Q54" s="43" t="s">
        <v>624</v>
      </c>
      <c r="R54" s="43">
        <v>9</v>
      </c>
      <c r="S54" s="43" t="b">
        <v>0</v>
      </c>
      <c r="T54" s="43" t="b">
        <v>1</v>
      </c>
      <c r="U54" s="45">
        <f t="shared" si="0"/>
        <v>15.3</v>
      </c>
      <c r="V54" s="45">
        <v>0</v>
      </c>
      <c r="W54" s="45">
        <v>15.3</v>
      </c>
    </row>
    <row r="55" spans="4:23" x14ac:dyDescent="0.15">
      <c r="D55" s="40" t="s">
        <v>781</v>
      </c>
      <c r="E55" s="40" t="s">
        <v>722</v>
      </c>
      <c r="F55" s="40" t="s">
        <v>723</v>
      </c>
      <c r="G55" s="40">
        <v>6</v>
      </c>
      <c r="H55" s="41">
        <v>40513.376388888893</v>
      </c>
      <c r="I55" s="40">
        <v>3.39</v>
      </c>
      <c r="J55" s="40">
        <v>17850</v>
      </c>
      <c r="K55" s="40" t="s">
        <v>71</v>
      </c>
      <c r="L55" s="42">
        <v>20.34</v>
      </c>
      <c r="M55" s="40" t="s">
        <v>721</v>
      </c>
      <c r="N55" s="40">
        <v>2010</v>
      </c>
      <c r="O55" s="40" t="s">
        <v>83</v>
      </c>
      <c r="P55" s="40" t="s">
        <v>126</v>
      </c>
      <c r="Q55" s="40" t="s">
        <v>624</v>
      </c>
      <c r="R55" s="40">
        <v>9</v>
      </c>
      <c r="S55" s="40" t="b">
        <v>0</v>
      </c>
      <c r="T55" s="40" t="b">
        <v>1</v>
      </c>
      <c r="U55" s="42">
        <f t="shared" si="0"/>
        <v>20.34</v>
      </c>
      <c r="V55" s="42">
        <v>0</v>
      </c>
      <c r="W55" s="42">
        <v>20.34</v>
      </c>
    </row>
    <row r="56" spans="4:23" x14ac:dyDescent="0.15">
      <c r="D56" s="43" t="s">
        <v>781</v>
      </c>
      <c r="E56" s="43" t="s">
        <v>724</v>
      </c>
      <c r="F56" s="43" t="s">
        <v>725</v>
      </c>
      <c r="G56" s="43">
        <v>8</v>
      </c>
      <c r="H56" s="44">
        <v>40513.376388888893</v>
      </c>
      <c r="I56" s="43">
        <v>2.75</v>
      </c>
      <c r="J56" s="43">
        <v>17850</v>
      </c>
      <c r="K56" s="43" t="s">
        <v>71</v>
      </c>
      <c r="L56" s="45">
        <v>22</v>
      </c>
      <c r="M56" s="43" t="s">
        <v>721</v>
      </c>
      <c r="N56" s="43">
        <v>2010</v>
      </c>
      <c r="O56" s="43" t="s">
        <v>83</v>
      </c>
      <c r="P56" s="43" t="s">
        <v>126</v>
      </c>
      <c r="Q56" s="43" t="s">
        <v>624</v>
      </c>
      <c r="R56" s="43">
        <v>9</v>
      </c>
      <c r="S56" s="43" t="b">
        <v>0</v>
      </c>
      <c r="T56" s="43" t="b">
        <v>1</v>
      </c>
      <c r="U56" s="45">
        <f t="shared" si="0"/>
        <v>22</v>
      </c>
      <c r="V56" s="45">
        <v>0</v>
      </c>
      <c r="W56" s="45">
        <v>22</v>
      </c>
    </row>
    <row r="57" spans="4:23" x14ac:dyDescent="0.15">
      <c r="D57" s="40" t="s">
        <v>781</v>
      </c>
      <c r="E57" s="40" t="s">
        <v>782</v>
      </c>
      <c r="F57" s="40" t="s">
        <v>783</v>
      </c>
      <c r="G57" s="40">
        <v>6</v>
      </c>
      <c r="H57" s="41">
        <v>40513.376388888893</v>
      </c>
      <c r="I57" s="40">
        <v>4.95</v>
      </c>
      <c r="J57" s="40">
        <v>17850</v>
      </c>
      <c r="K57" s="40" t="s">
        <v>71</v>
      </c>
      <c r="L57" s="42">
        <v>29.7</v>
      </c>
      <c r="M57" s="40" t="s">
        <v>721</v>
      </c>
      <c r="N57" s="40">
        <v>2010</v>
      </c>
      <c r="O57" s="40" t="s">
        <v>83</v>
      </c>
      <c r="P57" s="40" t="s">
        <v>126</v>
      </c>
      <c r="Q57" s="40" t="s">
        <v>624</v>
      </c>
      <c r="R57" s="40">
        <v>9</v>
      </c>
      <c r="S57" s="40" t="b">
        <v>0</v>
      </c>
      <c r="T57" s="40" t="b">
        <v>1</v>
      </c>
      <c r="U57" s="42">
        <f t="shared" si="0"/>
        <v>29.7</v>
      </c>
      <c r="V57" s="42">
        <v>0</v>
      </c>
      <c r="W57" s="42">
        <v>29.7</v>
      </c>
    </row>
    <row r="58" spans="4:23" x14ac:dyDescent="0.15">
      <c r="D58" s="43" t="s">
        <v>781</v>
      </c>
      <c r="E58" s="43" t="s">
        <v>784</v>
      </c>
      <c r="F58" s="43" t="s">
        <v>785</v>
      </c>
      <c r="G58" s="43">
        <v>6</v>
      </c>
      <c r="H58" s="44">
        <v>40513.376388888893</v>
      </c>
      <c r="I58" s="43">
        <v>1.06</v>
      </c>
      <c r="J58" s="43">
        <v>17850</v>
      </c>
      <c r="K58" s="43" t="s">
        <v>71</v>
      </c>
      <c r="L58" s="45">
        <v>6.36</v>
      </c>
      <c r="M58" s="43" t="s">
        <v>721</v>
      </c>
      <c r="N58" s="43">
        <v>2010</v>
      </c>
      <c r="O58" s="43" t="s">
        <v>83</v>
      </c>
      <c r="P58" s="43" t="s">
        <v>126</v>
      </c>
      <c r="Q58" s="43" t="s">
        <v>624</v>
      </c>
      <c r="R58" s="43">
        <v>9</v>
      </c>
      <c r="S58" s="43" t="b">
        <v>0</v>
      </c>
      <c r="T58" s="43" t="b">
        <v>1</v>
      </c>
      <c r="U58" s="45">
        <f t="shared" si="0"/>
        <v>6.36</v>
      </c>
      <c r="V58" s="45">
        <v>0</v>
      </c>
      <c r="W58" s="45">
        <v>6.36</v>
      </c>
    </row>
    <row r="59" spans="4:23" x14ac:dyDescent="0.15">
      <c r="D59" s="40" t="s">
        <v>781</v>
      </c>
      <c r="E59" s="40" t="s">
        <v>786</v>
      </c>
      <c r="F59" s="40" t="s">
        <v>787</v>
      </c>
      <c r="G59" s="40">
        <v>6</v>
      </c>
      <c r="H59" s="41">
        <v>40513.376388888893</v>
      </c>
      <c r="I59" s="40">
        <v>1.06</v>
      </c>
      <c r="J59" s="40">
        <v>17850</v>
      </c>
      <c r="K59" s="40" t="s">
        <v>71</v>
      </c>
      <c r="L59" s="42">
        <v>6.36</v>
      </c>
      <c r="M59" s="40" t="s">
        <v>721</v>
      </c>
      <c r="N59" s="40">
        <v>2010</v>
      </c>
      <c r="O59" s="40" t="s">
        <v>83</v>
      </c>
      <c r="P59" s="40" t="s">
        <v>126</v>
      </c>
      <c r="Q59" s="40" t="s">
        <v>624</v>
      </c>
      <c r="R59" s="40">
        <v>9</v>
      </c>
      <c r="S59" s="40" t="b">
        <v>0</v>
      </c>
      <c r="T59" s="40" t="b">
        <v>1</v>
      </c>
      <c r="U59" s="42">
        <f t="shared" si="0"/>
        <v>6.36</v>
      </c>
      <c r="V59" s="42">
        <v>0</v>
      </c>
      <c r="W59" s="42">
        <v>6.36</v>
      </c>
    </row>
    <row r="60" spans="4:23" x14ac:dyDescent="0.15">
      <c r="D60" s="43" t="s">
        <v>781</v>
      </c>
      <c r="E60" s="43" t="s">
        <v>788</v>
      </c>
      <c r="F60" s="43" t="s">
        <v>789</v>
      </c>
      <c r="G60" s="43">
        <v>6</v>
      </c>
      <c r="H60" s="44">
        <v>40513.376388888893</v>
      </c>
      <c r="I60" s="43">
        <v>1.06</v>
      </c>
      <c r="J60" s="43">
        <v>17850</v>
      </c>
      <c r="K60" s="43" t="s">
        <v>71</v>
      </c>
      <c r="L60" s="45">
        <v>6.36</v>
      </c>
      <c r="M60" s="43" t="s">
        <v>721</v>
      </c>
      <c r="N60" s="43">
        <v>2010</v>
      </c>
      <c r="O60" s="43" t="s">
        <v>83</v>
      </c>
      <c r="P60" s="43" t="s">
        <v>126</v>
      </c>
      <c r="Q60" s="43" t="s">
        <v>624</v>
      </c>
      <c r="R60" s="43">
        <v>9</v>
      </c>
      <c r="S60" s="43" t="b">
        <v>0</v>
      </c>
      <c r="T60" s="43" t="b">
        <v>1</v>
      </c>
      <c r="U60" s="45">
        <f t="shared" si="0"/>
        <v>6.36</v>
      </c>
      <c r="V60" s="45">
        <v>0</v>
      </c>
      <c r="W60" s="45">
        <v>6.36</v>
      </c>
    </row>
    <row r="61" spans="4:23" x14ac:dyDescent="0.15">
      <c r="D61" s="40" t="s">
        <v>781</v>
      </c>
      <c r="E61" s="40" t="s">
        <v>790</v>
      </c>
      <c r="F61" s="40" t="s">
        <v>791</v>
      </c>
      <c r="G61" s="40">
        <v>6</v>
      </c>
      <c r="H61" s="41">
        <v>40513.376388888893</v>
      </c>
      <c r="I61" s="40">
        <v>1.06</v>
      </c>
      <c r="J61" s="40">
        <v>17850</v>
      </c>
      <c r="K61" s="40" t="s">
        <v>71</v>
      </c>
      <c r="L61" s="42">
        <v>6.36</v>
      </c>
      <c r="M61" s="40" t="s">
        <v>721</v>
      </c>
      <c r="N61" s="40">
        <v>2010</v>
      </c>
      <c r="O61" s="40" t="s">
        <v>83</v>
      </c>
      <c r="P61" s="40" t="s">
        <v>126</v>
      </c>
      <c r="Q61" s="40" t="s">
        <v>624</v>
      </c>
      <c r="R61" s="40">
        <v>9</v>
      </c>
      <c r="S61" s="40" t="b">
        <v>0</v>
      </c>
      <c r="T61" s="40" t="b">
        <v>1</v>
      </c>
      <c r="U61" s="42">
        <f t="shared" si="0"/>
        <v>6.36</v>
      </c>
      <c r="V61" s="42">
        <v>0</v>
      </c>
      <c r="W61" s="42">
        <v>6.36</v>
      </c>
    </row>
    <row r="62" spans="4:23" x14ac:dyDescent="0.15">
      <c r="D62" s="43" t="s">
        <v>781</v>
      </c>
      <c r="E62" s="43" t="s">
        <v>409</v>
      </c>
      <c r="F62" s="43" t="s">
        <v>410</v>
      </c>
      <c r="G62" s="43">
        <v>2</v>
      </c>
      <c r="H62" s="44">
        <v>40513.376388888893</v>
      </c>
      <c r="I62" s="43">
        <v>4.95</v>
      </c>
      <c r="J62" s="43">
        <v>17850</v>
      </c>
      <c r="K62" s="43" t="s">
        <v>71</v>
      </c>
      <c r="L62" s="45">
        <v>9.9</v>
      </c>
      <c r="M62" s="43" t="s">
        <v>721</v>
      </c>
      <c r="N62" s="43">
        <v>2010</v>
      </c>
      <c r="O62" s="43" t="s">
        <v>83</v>
      </c>
      <c r="P62" s="43" t="s">
        <v>126</v>
      </c>
      <c r="Q62" s="43" t="s">
        <v>624</v>
      </c>
      <c r="R62" s="43">
        <v>9</v>
      </c>
      <c r="S62" s="43" t="b">
        <v>0</v>
      </c>
      <c r="T62" s="43" t="b">
        <v>1</v>
      </c>
      <c r="U62" s="45">
        <f t="shared" si="0"/>
        <v>9.9</v>
      </c>
      <c r="V62" s="45">
        <v>0</v>
      </c>
      <c r="W62" s="45">
        <v>9.9</v>
      </c>
    </row>
    <row r="63" spans="4:23" x14ac:dyDescent="0.15">
      <c r="D63" s="40" t="s">
        <v>781</v>
      </c>
      <c r="E63" s="40" t="s">
        <v>511</v>
      </c>
      <c r="F63" s="40" t="s">
        <v>512</v>
      </c>
      <c r="G63" s="40">
        <v>4</v>
      </c>
      <c r="H63" s="41">
        <v>40513.376388888893</v>
      </c>
      <c r="I63" s="40">
        <v>6.95</v>
      </c>
      <c r="J63" s="40">
        <v>17850</v>
      </c>
      <c r="K63" s="40" t="s">
        <v>71</v>
      </c>
      <c r="L63" s="42">
        <v>27.8</v>
      </c>
      <c r="M63" s="40" t="s">
        <v>721</v>
      </c>
      <c r="N63" s="40">
        <v>2010</v>
      </c>
      <c r="O63" s="40" t="s">
        <v>83</v>
      </c>
      <c r="P63" s="40" t="s">
        <v>126</v>
      </c>
      <c r="Q63" s="40" t="s">
        <v>624</v>
      </c>
      <c r="R63" s="40">
        <v>9</v>
      </c>
      <c r="S63" s="40" t="b">
        <v>0</v>
      </c>
      <c r="T63" s="40" t="b">
        <v>1</v>
      </c>
      <c r="U63" s="42">
        <f t="shared" si="0"/>
        <v>27.8</v>
      </c>
      <c r="V63" s="42">
        <v>0</v>
      </c>
      <c r="W63" s="42">
        <v>27.8</v>
      </c>
    </row>
    <row r="64" spans="4:23" x14ac:dyDescent="0.15">
      <c r="D64" s="43" t="s">
        <v>781</v>
      </c>
      <c r="E64" s="43" t="s">
        <v>287</v>
      </c>
      <c r="F64" s="43" t="s">
        <v>288</v>
      </c>
      <c r="G64" s="43">
        <v>6</v>
      </c>
      <c r="H64" s="44">
        <v>40513.376388888893</v>
      </c>
      <c r="I64" s="43">
        <v>2.1</v>
      </c>
      <c r="J64" s="43">
        <v>17850</v>
      </c>
      <c r="K64" s="43" t="s">
        <v>71</v>
      </c>
      <c r="L64" s="45">
        <v>12.6</v>
      </c>
      <c r="M64" s="43" t="s">
        <v>721</v>
      </c>
      <c r="N64" s="43">
        <v>2010</v>
      </c>
      <c r="O64" s="43" t="s">
        <v>83</v>
      </c>
      <c r="P64" s="43" t="s">
        <v>126</v>
      </c>
      <c r="Q64" s="43" t="s">
        <v>624</v>
      </c>
      <c r="R64" s="43">
        <v>9</v>
      </c>
      <c r="S64" s="43" t="b">
        <v>0</v>
      </c>
      <c r="T64" s="43" t="b">
        <v>1</v>
      </c>
      <c r="U64" s="45">
        <f t="shared" si="0"/>
        <v>12.6</v>
      </c>
      <c r="V64" s="45">
        <v>0</v>
      </c>
      <c r="W64" s="45">
        <v>12.6</v>
      </c>
    </row>
    <row r="65" spans="4:23" x14ac:dyDescent="0.15">
      <c r="D65" s="40" t="s">
        <v>781</v>
      </c>
      <c r="E65" s="40" t="s">
        <v>335</v>
      </c>
      <c r="F65" s="40" t="s">
        <v>336</v>
      </c>
      <c r="G65" s="40">
        <v>6</v>
      </c>
      <c r="H65" s="41">
        <v>40513.376388888893</v>
      </c>
      <c r="I65" s="40">
        <v>2.5499999999999998</v>
      </c>
      <c r="J65" s="40">
        <v>17850</v>
      </c>
      <c r="K65" s="40" t="s">
        <v>71</v>
      </c>
      <c r="L65" s="42">
        <v>15.3</v>
      </c>
      <c r="M65" s="40" t="s">
        <v>721</v>
      </c>
      <c r="N65" s="40">
        <v>2010</v>
      </c>
      <c r="O65" s="40" t="s">
        <v>83</v>
      </c>
      <c r="P65" s="40" t="s">
        <v>126</v>
      </c>
      <c r="Q65" s="40" t="s">
        <v>624</v>
      </c>
      <c r="R65" s="40">
        <v>9</v>
      </c>
      <c r="S65" s="40" t="b">
        <v>0</v>
      </c>
      <c r="T65" s="40" t="b">
        <v>1</v>
      </c>
      <c r="U65" s="42">
        <f t="shared" si="0"/>
        <v>15.3</v>
      </c>
      <c r="V65" s="42">
        <v>0</v>
      </c>
      <c r="W65" s="42">
        <v>15.3</v>
      </c>
    </row>
    <row r="66" spans="4:23" x14ac:dyDescent="0.15">
      <c r="D66" s="43" t="s">
        <v>781</v>
      </c>
      <c r="E66" s="43" t="s">
        <v>399</v>
      </c>
      <c r="F66" s="43" t="s">
        <v>400</v>
      </c>
      <c r="G66" s="43">
        <v>6</v>
      </c>
      <c r="H66" s="44">
        <v>40513.376388888893</v>
      </c>
      <c r="I66" s="43">
        <v>3.39</v>
      </c>
      <c r="J66" s="43">
        <v>17850</v>
      </c>
      <c r="K66" s="43" t="s">
        <v>71</v>
      </c>
      <c r="L66" s="45">
        <v>20.34</v>
      </c>
      <c r="M66" s="43" t="s">
        <v>721</v>
      </c>
      <c r="N66" s="43">
        <v>2010</v>
      </c>
      <c r="O66" s="43" t="s">
        <v>83</v>
      </c>
      <c r="P66" s="43" t="s">
        <v>126</v>
      </c>
      <c r="Q66" s="43" t="s">
        <v>624</v>
      </c>
      <c r="R66" s="43">
        <v>9</v>
      </c>
      <c r="S66" s="43" t="b">
        <v>0</v>
      </c>
      <c r="T66" s="43" t="b">
        <v>1</v>
      </c>
      <c r="U66" s="45">
        <f t="shared" si="0"/>
        <v>20.34</v>
      </c>
      <c r="V66" s="45">
        <v>0</v>
      </c>
      <c r="W66" s="45">
        <v>20.34</v>
      </c>
    </row>
    <row r="67" spans="4:23" x14ac:dyDescent="0.15">
      <c r="D67" s="40" t="s">
        <v>781</v>
      </c>
      <c r="E67" s="40" t="s">
        <v>305</v>
      </c>
      <c r="F67" s="40" t="s">
        <v>306</v>
      </c>
      <c r="G67" s="40">
        <v>6</v>
      </c>
      <c r="H67" s="41">
        <v>40513.376388888893</v>
      </c>
      <c r="I67" s="40">
        <v>3.39</v>
      </c>
      <c r="J67" s="40">
        <v>17850</v>
      </c>
      <c r="K67" s="40" t="s">
        <v>71</v>
      </c>
      <c r="L67" s="42">
        <v>20.34</v>
      </c>
      <c r="M67" s="40" t="s">
        <v>721</v>
      </c>
      <c r="N67" s="40">
        <v>2010</v>
      </c>
      <c r="O67" s="40" t="s">
        <v>83</v>
      </c>
      <c r="P67" s="40" t="s">
        <v>126</v>
      </c>
      <c r="Q67" s="40" t="s">
        <v>624</v>
      </c>
      <c r="R67" s="40">
        <v>9</v>
      </c>
      <c r="S67" s="40" t="b">
        <v>0</v>
      </c>
      <c r="T67" s="40" t="b">
        <v>1</v>
      </c>
      <c r="U67" s="42">
        <f t="shared" si="0"/>
        <v>20.34</v>
      </c>
      <c r="V67" s="42">
        <v>0</v>
      </c>
      <c r="W67" s="42">
        <v>20.34</v>
      </c>
    </row>
    <row r="68" spans="4:23" x14ac:dyDescent="0.15">
      <c r="D68" s="43" t="s">
        <v>781</v>
      </c>
      <c r="E68" s="43" t="s">
        <v>417</v>
      </c>
      <c r="F68" s="43" t="s">
        <v>418</v>
      </c>
      <c r="G68" s="43">
        <v>2</v>
      </c>
      <c r="H68" s="44">
        <v>40513.376388888893</v>
      </c>
      <c r="I68" s="43">
        <v>7.65</v>
      </c>
      <c r="J68" s="43">
        <v>17850</v>
      </c>
      <c r="K68" s="43" t="s">
        <v>71</v>
      </c>
      <c r="L68" s="45">
        <v>15.3</v>
      </c>
      <c r="M68" s="43" t="s">
        <v>721</v>
      </c>
      <c r="N68" s="43">
        <v>2010</v>
      </c>
      <c r="O68" s="43" t="s">
        <v>83</v>
      </c>
      <c r="P68" s="43" t="s">
        <v>126</v>
      </c>
      <c r="Q68" s="43" t="s">
        <v>624</v>
      </c>
      <c r="R68" s="43">
        <v>9</v>
      </c>
      <c r="S68" s="43" t="b">
        <v>0</v>
      </c>
      <c r="T68" s="43" t="b">
        <v>1</v>
      </c>
      <c r="U68" s="45">
        <f t="shared" si="0"/>
        <v>15.3</v>
      </c>
      <c r="V68" s="45">
        <v>0</v>
      </c>
      <c r="W68" s="45">
        <v>15.3</v>
      </c>
    </row>
    <row r="69" spans="4:23" x14ac:dyDescent="0.15">
      <c r="D69" s="40" t="s">
        <v>781</v>
      </c>
      <c r="E69" s="40" t="s">
        <v>726</v>
      </c>
      <c r="F69" s="40" t="s">
        <v>727</v>
      </c>
      <c r="G69" s="40">
        <v>6</v>
      </c>
      <c r="H69" s="41">
        <v>40513.376388888893</v>
      </c>
      <c r="I69" s="40">
        <v>4.25</v>
      </c>
      <c r="J69" s="40">
        <v>17850</v>
      </c>
      <c r="K69" s="40" t="s">
        <v>71</v>
      </c>
      <c r="L69" s="42">
        <v>25.5</v>
      </c>
      <c r="M69" s="40" t="s">
        <v>721</v>
      </c>
      <c r="N69" s="40">
        <v>2010</v>
      </c>
      <c r="O69" s="40" t="s">
        <v>83</v>
      </c>
      <c r="P69" s="40" t="s">
        <v>126</v>
      </c>
      <c r="Q69" s="40" t="s">
        <v>624</v>
      </c>
      <c r="R69" s="40">
        <v>9</v>
      </c>
      <c r="S69" s="40" t="b">
        <v>0</v>
      </c>
      <c r="T69" s="40" t="b">
        <v>1</v>
      </c>
      <c r="U69" s="42">
        <f t="shared" ref="U69:U132" si="1">IF(T69,L69,0)</f>
        <v>25.5</v>
      </c>
      <c r="V69" s="42">
        <v>0</v>
      </c>
      <c r="W69" s="42">
        <v>25.5</v>
      </c>
    </row>
    <row r="70" spans="4:23" x14ac:dyDescent="0.15">
      <c r="D70" s="43" t="s">
        <v>792</v>
      </c>
      <c r="E70" s="43" t="s">
        <v>793</v>
      </c>
      <c r="F70" s="43" t="s">
        <v>794</v>
      </c>
      <c r="G70" s="43">
        <v>32</v>
      </c>
      <c r="H70" s="44">
        <v>40513.381249999999</v>
      </c>
      <c r="I70" s="43">
        <v>10.95</v>
      </c>
      <c r="J70" s="43">
        <v>15100</v>
      </c>
      <c r="K70" s="43" t="s">
        <v>71</v>
      </c>
      <c r="L70" s="45">
        <v>350.4</v>
      </c>
      <c r="M70" s="43" t="s">
        <v>721</v>
      </c>
      <c r="N70" s="43">
        <v>2010</v>
      </c>
      <c r="O70" s="43" t="s">
        <v>83</v>
      </c>
      <c r="P70" s="43" t="s">
        <v>126</v>
      </c>
      <c r="Q70" s="43" t="s">
        <v>624</v>
      </c>
      <c r="R70" s="43">
        <v>9</v>
      </c>
      <c r="S70" s="43" t="b">
        <v>0</v>
      </c>
      <c r="T70" s="43" t="b">
        <v>1</v>
      </c>
      <c r="U70" s="45">
        <f t="shared" si="1"/>
        <v>350.4</v>
      </c>
      <c r="V70" s="45">
        <v>0</v>
      </c>
      <c r="W70" s="45">
        <v>350.4</v>
      </c>
    </row>
    <row r="71" spans="4:23" x14ac:dyDescent="0.15">
      <c r="D71" s="40" t="s">
        <v>795</v>
      </c>
      <c r="E71" s="40" t="s">
        <v>168</v>
      </c>
      <c r="F71" s="40" t="s">
        <v>102</v>
      </c>
      <c r="G71" s="40">
        <v>6</v>
      </c>
      <c r="H71" s="41">
        <v>40513.397222222222</v>
      </c>
      <c r="I71" s="40">
        <v>2.5499999999999998</v>
      </c>
      <c r="J71" s="40">
        <v>17850</v>
      </c>
      <c r="K71" s="40" t="s">
        <v>71</v>
      </c>
      <c r="L71" s="42">
        <v>15.3</v>
      </c>
      <c r="M71" s="40" t="s">
        <v>721</v>
      </c>
      <c r="N71" s="40">
        <v>2010</v>
      </c>
      <c r="O71" s="40" t="s">
        <v>83</v>
      </c>
      <c r="P71" s="40" t="s">
        <v>126</v>
      </c>
      <c r="Q71" s="40" t="s">
        <v>624</v>
      </c>
      <c r="R71" s="40">
        <v>9</v>
      </c>
      <c r="S71" s="40" t="b">
        <v>0</v>
      </c>
      <c r="T71" s="40" t="b">
        <v>1</v>
      </c>
      <c r="U71" s="42">
        <f t="shared" si="1"/>
        <v>15.3</v>
      </c>
      <c r="V71" s="42">
        <v>0</v>
      </c>
      <c r="W71" s="42">
        <v>15.3</v>
      </c>
    </row>
    <row r="72" spans="4:23" x14ac:dyDescent="0.15">
      <c r="D72" s="43" t="s">
        <v>795</v>
      </c>
      <c r="E72" s="43" t="s">
        <v>722</v>
      </c>
      <c r="F72" s="43" t="s">
        <v>723</v>
      </c>
      <c r="G72" s="43">
        <v>6</v>
      </c>
      <c r="H72" s="44">
        <v>40513.397222222222</v>
      </c>
      <c r="I72" s="43">
        <v>3.39</v>
      </c>
      <c r="J72" s="43">
        <v>17850</v>
      </c>
      <c r="K72" s="43" t="s">
        <v>71</v>
      </c>
      <c r="L72" s="45">
        <v>20.34</v>
      </c>
      <c r="M72" s="43" t="s">
        <v>721</v>
      </c>
      <c r="N72" s="43">
        <v>2010</v>
      </c>
      <c r="O72" s="43" t="s">
        <v>83</v>
      </c>
      <c r="P72" s="43" t="s">
        <v>126</v>
      </c>
      <c r="Q72" s="43" t="s">
        <v>624</v>
      </c>
      <c r="R72" s="43">
        <v>9</v>
      </c>
      <c r="S72" s="43" t="b">
        <v>0</v>
      </c>
      <c r="T72" s="43" t="b">
        <v>1</v>
      </c>
      <c r="U72" s="45">
        <f t="shared" si="1"/>
        <v>20.34</v>
      </c>
      <c r="V72" s="45">
        <v>0</v>
      </c>
      <c r="W72" s="45">
        <v>20.34</v>
      </c>
    </row>
    <row r="73" spans="4:23" x14ac:dyDescent="0.15">
      <c r="D73" s="40" t="s">
        <v>795</v>
      </c>
      <c r="E73" s="40" t="s">
        <v>724</v>
      </c>
      <c r="F73" s="40" t="s">
        <v>725</v>
      </c>
      <c r="G73" s="40">
        <v>8</v>
      </c>
      <c r="H73" s="41">
        <v>40513.397222222222</v>
      </c>
      <c r="I73" s="40">
        <v>2.75</v>
      </c>
      <c r="J73" s="40">
        <v>17850</v>
      </c>
      <c r="K73" s="40" t="s">
        <v>71</v>
      </c>
      <c r="L73" s="42">
        <v>22</v>
      </c>
      <c r="M73" s="40" t="s">
        <v>721</v>
      </c>
      <c r="N73" s="40">
        <v>2010</v>
      </c>
      <c r="O73" s="40" t="s">
        <v>83</v>
      </c>
      <c r="P73" s="40" t="s">
        <v>126</v>
      </c>
      <c r="Q73" s="40" t="s">
        <v>624</v>
      </c>
      <c r="R73" s="40">
        <v>9</v>
      </c>
      <c r="S73" s="40" t="b">
        <v>0</v>
      </c>
      <c r="T73" s="40" t="b">
        <v>1</v>
      </c>
      <c r="U73" s="42">
        <f t="shared" si="1"/>
        <v>22</v>
      </c>
      <c r="V73" s="42">
        <v>0</v>
      </c>
      <c r="W73" s="42">
        <v>22</v>
      </c>
    </row>
    <row r="74" spans="4:23" x14ac:dyDescent="0.15">
      <c r="D74" s="43" t="s">
        <v>795</v>
      </c>
      <c r="E74" s="43" t="s">
        <v>782</v>
      </c>
      <c r="F74" s="43" t="s">
        <v>783</v>
      </c>
      <c r="G74" s="43">
        <v>6</v>
      </c>
      <c r="H74" s="44">
        <v>40513.397222222222</v>
      </c>
      <c r="I74" s="43">
        <v>4.95</v>
      </c>
      <c r="J74" s="43">
        <v>17850</v>
      </c>
      <c r="K74" s="43" t="s">
        <v>71</v>
      </c>
      <c r="L74" s="45">
        <v>29.7</v>
      </c>
      <c r="M74" s="43" t="s">
        <v>721</v>
      </c>
      <c r="N74" s="43">
        <v>2010</v>
      </c>
      <c r="O74" s="43" t="s">
        <v>83</v>
      </c>
      <c r="P74" s="43" t="s">
        <v>126</v>
      </c>
      <c r="Q74" s="43" t="s">
        <v>624</v>
      </c>
      <c r="R74" s="43">
        <v>9</v>
      </c>
      <c r="S74" s="43" t="b">
        <v>0</v>
      </c>
      <c r="T74" s="43" t="b">
        <v>1</v>
      </c>
      <c r="U74" s="45">
        <f t="shared" si="1"/>
        <v>29.7</v>
      </c>
      <c r="V74" s="45">
        <v>0</v>
      </c>
      <c r="W74" s="45">
        <v>29.7</v>
      </c>
    </row>
    <row r="75" spans="4:23" x14ac:dyDescent="0.15">
      <c r="D75" s="40" t="s">
        <v>795</v>
      </c>
      <c r="E75" s="40" t="s">
        <v>784</v>
      </c>
      <c r="F75" s="40" t="s">
        <v>785</v>
      </c>
      <c r="G75" s="40">
        <v>6</v>
      </c>
      <c r="H75" s="41">
        <v>40513.397222222222</v>
      </c>
      <c r="I75" s="40">
        <v>1.06</v>
      </c>
      <c r="J75" s="40">
        <v>17850</v>
      </c>
      <c r="K75" s="40" t="s">
        <v>71</v>
      </c>
      <c r="L75" s="42">
        <v>6.36</v>
      </c>
      <c r="M75" s="40" t="s">
        <v>721</v>
      </c>
      <c r="N75" s="40">
        <v>2010</v>
      </c>
      <c r="O75" s="40" t="s">
        <v>83</v>
      </c>
      <c r="P75" s="40" t="s">
        <v>126</v>
      </c>
      <c r="Q75" s="40" t="s">
        <v>624</v>
      </c>
      <c r="R75" s="40">
        <v>9</v>
      </c>
      <c r="S75" s="40" t="b">
        <v>0</v>
      </c>
      <c r="T75" s="40" t="b">
        <v>1</v>
      </c>
      <c r="U75" s="42">
        <f t="shared" si="1"/>
        <v>6.36</v>
      </c>
      <c r="V75" s="42">
        <v>0</v>
      </c>
      <c r="W75" s="42">
        <v>6.36</v>
      </c>
    </row>
    <row r="76" spans="4:23" x14ac:dyDescent="0.15">
      <c r="D76" s="43" t="s">
        <v>795</v>
      </c>
      <c r="E76" s="43" t="s">
        <v>786</v>
      </c>
      <c r="F76" s="43" t="s">
        <v>787</v>
      </c>
      <c r="G76" s="43">
        <v>6</v>
      </c>
      <c r="H76" s="44">
        <v>40513.397222222222</v>
      </c>
      <c r="I76" s="43">
        <v>1.06</v>
      </c>
      <c r="J76" s="43">
        <v>17850</v>
      </c>
      <c r="K76" s="43" t="s">
        <v>71</v>
      </c>
      <c r="L76" s="45">
        <v>6.36</v>
      </c>
      <c r="M76" s="43" t="s">
        <v>721</v>
      </c>
      <c r="N76" s="43">
        <v>2010</v>
      </c>
      <c r="O76" s="43" t="s">
        <v>83</v>
      </c>
      <c r="P76" s="43" t="s">
        <v>126</v>
      </c>
      <c r="Q76" s="43" t="s">
        <v>624</v>
      </c>
      <c r="R76" s="43">
        <v>9</v>
      </c>
      <c r="S76" s="43" t="b">
        <v>0</v>
      </c>
      <c r="T76" s="43" t="b">
        <v>1</v>
      </c>
      <c r="U76" s="45">
        <f t="shared" si="1"/>
        <v>6.36</v>
      </c>
      <c r="V76" s="45">
        <v>0</v>
      </c>
      <c r="W76" s="45">
        <v>6.36</v>
      </c>
    </row>
    <row r="77" spans="4:23" x14ac:dyDescent="0.15">
      <c r="D77" s="40" t="s">
        <v>795</v>
      </c>
      <c r="E77" s="40" t="s">
        <v>788</v>
      </c>
      <c r="F77" s="40" t="s">
        <v>789</v>
      </c>
      <c r="G77" s="40">
        <v>6</v>
      </c>
      <c r="H77" s="41">
        <v>40513.397222222222</v>
      </c>
      <c r="I77" s="40">
        <v>1.06</v>
      </c>
      <c r="J77" s="40">
        <v>17850</v>
      </c>
      <c r="K77" s="40" t="s">
        <v>71</v>
      </c>
      <c r="L77" s="42">
        <v>6.36</v>
      </c>
      <c r="M77" s="40" t="s">
        <v>721</v>
      </c>
      <c r="N77" s="40">
        <v>2010</v>
      </c>
      <c r="O77" s="40" t="s">
        <v>83</v>
      </c>
      <c r="P77" s="40" t="s">
        <v>126</v>
      </c>
      <c r="Q77" s="40" t="s">
        <v>624</v>
      </c>
      <c r="R77" s="40">
        <v>9</v>
      </c>
      <c r="S77" s="40" t="b">
        <v>0</v>
      </c>
      <c r="T77" s="40" t="b">
        <v>1</v>
      </c>
      <c r="U77" s="42">
        <f t="shared" si="1"/>
        <v>6.36</v>
      </c>
      <c r="V77" s="42">
        <v>0</v>
      </c>
      <c r="W77" s="42">
        <v>6.36</v>
      </c>
    </row>
    <row r="78" spans="4:23" x14ac:dyDescent="0.15">
      <c r="D78" s="43" t="s">
        <v>795</v>
      </c>
      <c r="E78" s="43" t="s">
        <v>790</v>
      </c>
      <c r="F78" s="43" t="s">
        <v>791</v>
      </c>
      <c r="G78" s="43">
        <v>6</v>
      </c>
      <c r="H78" s="44">
        <v>40513.397222222222</v>
      </c>
      <c r="I78" s="43">
        <v>1.06</v>
      </c>
      <c r="J78" s="43">
        <v>17850</v>
      </c>
      <c r="K78" s="43" t="s">
        <v>71</v>
      </c>
      <c r="L78" s="45">
        <v>6.36</v>
      </c>
      <c r="M78" s="43" t="s">
        <v>721</v>
      </c>
      <c r="N78" s="43">
        <v>2010</v>
      </c>
      <c r="O78" s="43" t="s">
        <v>83</v>
      </c>
      <c r="P78" s="43" t="s">
        <v>126</v>
      </c>
      <c r="Q78" s="43" t="s">
        <v>624</v>
      </c>
      <c r="R78" s="43">
        <v>9</v>
      </c>
      <c r="S78" s="43" t="b">
        <v>0</v>
      </c>
      <c r="T78" s="43" t="b">
        <v>1</v>
      </c>
      <c r="U78" s="45">
        <f t="shared" si="1"/>
        <v>6.36</v>
      </c>
      <c r="V78" s="45">
        <v>0</v>
      </c>
      <c r="W78" s="45">
        <v>6.36</v>
      </c>
    </row>
    <row r="79" spans="4:23" x14ac:dyDescent="0.15">
      <c r="D79" s="40" t="s">
        <v>795</v>
      </c>
      <c r="E79" s="40" t="s">
        <v>409</v>
      </c>
      <c r="F79" s="40" t="s">
        <v>410</v>
      </c>
      <c r="G79" s="40">
        <v>2</v>
      </c>
      <c r="H79" s="41">
        <v>40513.397222222222</v>
      </c>
      <c r="I79" s="40">
        <v>4.95</v>
      </c>
      <c r="J79" s="40">
        <v>17850</v>
      </c>
      <c r="K79" s="40" t="s">
        <v>71</v>
      </c>
      <c r="L79" s="42">
        <v>9.9</v>
      </c>
      <c r="M79" s="40" t="s">
        <v>721</v>
      </c>
      <c r="N79" s="40">
        <v>2010</v>
      </c>
      <c r="O79" s="40" t="s">
        <v>83</v>
      </c>
      <c r="P79" s="40" t="s">
        <v>126</v>
      </c>
      <c r="Q79" s="40" t="s">
        <v>624</v>
      </c>
      <c r="R79" s="40">
        <v>9</v>
      </c>
      <c r="S79" s="40" t="b">
        <v>0</v>
      </c>
      <c r="T79" s="40" t="b">
        <v>1</v>
      </c>
      <c r="U79" s="42">
        <f t="shared" si="1"/>
        <v>9.9</v>
      </c>
      <c r="V79" s="42">
        <v>0</v>
      </c>
      <c r="W79" s="42">
        <v>9.9</v>
      </c>
    </row>
    <row r="80" spans="4:23" x14ac:dyDescent="0.15">
      <c r="D80" s="43" t="s">
        <v>795</v>
      </c>
      <c r="E80" s="43" t="s">
        <v>511</v>
      </c>
      <c r="F80" s="43" t="s">
        <v>512</v>
      </c>
      <c r="G80" s="43">
        <v>4</v>
      </c>
      <c r="H80" s="44">
        <v>40513.397222222222</v>
      </c>
      <c r="I80" s="43">
        <v>6.95</v>
      </c>
      <c r="J80" s="43">
        <v>17850</v>
      </c>
      <c r="K80" s="43" t="s">
        <v>71</v>
      </c>
      <c r="L80" s="45">
        <v>27.8</v>
      </c>
      <c r="M80" s="43" t="s">
        <v>721</v>
      </c>
      <c r="N80" s="43">
        <v>2010</v>
      </c>
      <c r="O80" s="43" t="s">
        <v>83</v>
      </c>
      <c r="P80" s="43" t="s">
        <v>126</v>
      </c>
      <c r="Q80" s="43" t="s">
        <v>624</v>
      </c>
      <c r="R80" s="43">
        <v>9</v>
      </c>
      <c r="S80" s="43" t="b">
        <v>0</v>
      </c>
      <c r="T80" s="43" t="b">
        <v>1</v>
      </c>
      <c r="U80" s="45">
        <f t="shared" si="1"/>
        <v>27.8</v>
      </c>
      <c r="V80" s="45">
        <v>0</v>
      </c>
      <c r="W80" s="45">
        <v>27.8</v>
      </c>
    </row>
    <row r="81" spans="4:23" x14ac:dyDescent="0.15">
      <c r="D81" s="40" t="s">
        <v>795</v>
      </c>
      <c r="E81" s="40" t="s">
        <v>287</v>
      </c>
      <c r="F81" s="40" t="s">
        <v>288</v>
      </c>
      <c r="G81" s="40">
        <v>6</v>
      </c>
      <c r="H81" s="41">
        <v>40513.397222222222</v>
      </c>
      <c r="I81" s="40">
        <v>2.1</v>
      </c>
      <c r="J81" s="40">
        <v>17850</v>
      </c>
      <c r="K81" s="40" t="s">
        <v>71</v>
      </c>
      <c r="L81" s="42">
        <v>12.6</v>
      </c>
      <c r="M81" s="40" t="s">
        <v>721</v>
      </c>
      <c r="N81" s="40">
        <v>2010</v>
      </c>
      <c r="O81" s="40" t="s">
        <v>83</v>
      </c>
      <c r="P81" s="40" t="s">
        <v>126</v>
      </c>
      <c r="Q81" s="40" t="s">
        <v>624</v>
      </c>
      <c r="R81" s="40">
        <v>9</v>
      </c>
      <c r="S81" s="40" t="b">
        <v>0</v>
      </c>
      <c r="T81" s="40" t="b">
        <v>1</v>
      </c>
      <c r="U81" s="42">
        <f t="shared" si="1"/>
        <v>12.6</v>
      </c>
      <c r="V81" s="42">
        <v>0</v>
      </c>
      <c r="W81" s="42">
        <v>12.6</v>
      </c>
    </row>
    <row r="82" spans="4:23" x14ac:dyDescent="0.15">
      <c r="D82" s="43" t="s">
        <v>795</v>
      </c>
      <c r="E82" s="43" t="s">
        <v>335</v>
      </c>
      <c r="F82" s="43" t="s">
        <v>336</v>
      </c>
      <c r="G82" s="43">
        <v>6</v>
      </c>
      <c r="H82" s="44">
        <v>40513.397222222222</v>
      </c>
      <c r="I82" s="43">
        <v>2.5499999999999998</v>
      </c>
      <c r="J82" s="43">
        <v>17850</v>
      </c>
      <c r="K82" s="43" t="s">
        <v>71</v>
      </c>
      <c r="L82" s="45">
        <v>15.3</v>
      </c>
      <c r="M82" s="43" t="s">
        <v>721</v>
      </c>
      <c r="N82" s="43">
        <v>2010</v>
      </c>
      <c r="O82" s="43" t="s">
        <v>83</v>
      </c>
      <c r="P82" s="43" t="s">
        <v>126</v>
      </c>
      <c r="Q82" s="43" t="s">
        <v>624</v>
      </c>
      <c r="R82" s="43">
        <v>9</v>
      </c>
      <c r="S82" s="43" t="b">
        <v>0</v>
      </c>
      <c r="T82" s="43" t="b">
        <v>1</v>
      </c>
      <c r="U82" s="45">
        <f t="shared" si="1"/>
        <v>15.3</v>
      </c>
      <c r="V82" s="45">
        <v>0</v>
      </c>
      <c r="W82" s="45">
        <v>15.3</v>
      </c>
    </row>
    <row r="83" spans="4:23" x14ac:dyDescent="0.15">
      <c r="D83" s="40" t="s">
        <v>795</v>
      </c>
      <c r="E83" s="40" t="s">
        <v>399</v>
      </c>
      <c r="F83" s="40" t="s">
        <v>400</v>
      </c>
      <c r="G83" s="40">
        <v>6</v>
      </c>
      <c r="H83" s="41">
        <v>40513.397222222222</v>
      </c>
      <c r="I83" s="40">
        <v>3.39</v>
      </c>
      <c r="J83" s="40">
        <v>17850</v>
      </c>
      <c r="K83" s="40" t="s">
        <v>71</v>
      </c>
      <c r="L83" s="42">
        <v>20.34</v>
      </c>
      <c r="M83" s="40" t="s">
        <v>721</v>
      </c>
      <c r="N83" s="40">
        <v>2010</v>
      </c>
      <c r="O83" s="40" t="s">
        <v>83</v>
      </c>
      <c r="P83" s="40" t="s">
        <v>126</v>
      </c>
      <c r="Q83" s="40" t="s">
        <v>624</v>
      </c>
      <c r="R83" s="40">
        <v>9</v>
      </c>
      <c r="S83" s="40" t="b">
        <v>0</v>
      </c>
      <c r="T83" s="40" t="b">
        <v>1</v>
      </c>
      <c r="U83" s="42">
        <f t="shared" si="1"/>
        <v>20.34</v>
      </c>
      <c r="V83" s="42">
        <v>0</v>
      </c>
      <c r="W83" s="42">
        <v>20.34</v>
      </c>
    </row>
    <row r="84" spans="4:23" x14ac:dyDescent="0.15">
      <c r="D84" s="43" t="s">
        <v>795</v>
      </c>
      <c r="E84" s="43" t="s">
        <v>305</v>
      </c>
      <c r="F84" s="43" t="s">
        <v>306</v>
      </c>
      <c r="G84" s="43">
        <v>6</v>
      </c>
      <c r="H84" s="44">
        <v>40513.397222222222</v>
      </c>
      <c r="I84" s="43">
        <v>3.39</v>
      </c>
      <c r="J84" s="43">
        <v>17850</v>
      </c>
      <c r="K84" s="43" t="s">
        <v>71</v>
      </c>
      <c r="L84" s="45">
        <v>20.34</v>
      </c>
      <c r="M84" s="43" t="s">
        <v>721</v>
      </c>
      <c r="N84" s="43">
        <v>2010</v>
      </c>
      <c r="O84" s="43" t="s">
        <v>83</v>
      </c>
      <c r="P84" s="43" t="s">
        <v>126</v>
      </c>
      <c r="Q84" s="43" t="s">
        <v>624</v>
      </c>
      <c r="R84" s="43">
        <v>9</v>
      </c>
      <c r="S84" s="43" t="b">
        <v>0</v>
      </c>
      <c r="T84" s="43" t="b">
        <v>1</v>
      </c>
      <c r="U84" s="45">
        <f t="shared" si="1"/>
        <v>20.34</v>
      </c>
      <c r="V84" s="45">
        <v>0</v>
      </c>
      <c r="W84" s="45">
        <v>20.34</v>
      </c>
    </row>
    <row r="85" spans="4:23" x14ac:dyDescent="0.15">
      <c r="D85" s="40" t="s">
        <v>795</v>
      </c>
      <c r="E85" s="40" t="s">
        <v>417</v>
      </c>
      <c r="F85" s="40" t="s">
        <v>418</v>
      </c>
      <c r="G85" s="40">
        <v>2</v>
      </c>
      <c r="H85" s="41">
        <v>40513.397222222222</v>
      </c>
      <c r="I85" s="40">
        <v>7.65</v>
      </c>
      <c r="J85" s="40">
        <v>17850</v>
      </c>
      <c r="K85" s="40" t="s">
        <v>71</v>
      </c>
      <c r="L85" s="42">
        <v>15.3</v>
      </c>
      <c r="M85" s="40" t="s">
        <v>721</v>
      </c>
      <c r="N85" s="40">
        <v>2010</v>
      </c>
      <c r="O85" s="40" t="s">
        <v>83</v>
      </c>
      <c r="P85" s="40" t="s">
        <v>126</v>
      </c>
      <c r="Q85" s="40" t="s">
        <v>624</v>
      </c>
      <c r="R85" s="40">
        <v>9</v>
      </c>
      <c r="S85" s="40" t="b">
        <v>0</v>
      </c>
      <c r="T85" s="40" t="b">
        <v>1</v>
      </c>
      <c r="U85" s="42">
        <f t="shared" si="1"/>
        <v>15.3</v>
      </c>
      <c r="V85" s="42">
        <v>0</v>
      </c>
      <c r="W85" s="42">
        <v>15.3</v>
      </c>
    </row>
    <row r="86" spans="4:23" x14ac:dyDescent="0.15">
      <c r="D86" s="43" t="s">
        <v>795</v>
      </c>
      <c r="E86" s="43" t="s">
        <v>726</v>
      </c>
      <c r="F86" s="43" t="s">
        <v>727</v>
      </c>
      <c r="G86" s="43">
        <v>6</v>
      </c>
      <c r="H86" s="44">
        <v>40513.397222222222</v>
      </c>
      <c r="I86" s="43">
        <v>4.25</v>
      </c>
      <c r="J86" s="43">
        <v>17850</v>
      </c>
      <c r="K86" s="43" t="s">
        <v>71</v>
      </c>
      <c r="L86" s="45">
        <v>25.5</v>
      </c>
      <c r="M86" s="43" t="s">
        <v>721</v>
      </c>
      <c r="N86" s="43">
        <v>2010</v>
      </c>
      <c r="O86" s="43" t="s">
        <v>83</v>
      </c>
      <c r="P86" s="43" t="s">
        <v>126</v>
      </c>
      <c r="Q86" s="43" t="s">
        <v>624</v>
      </c>
      <c r="R86" s="43">
        <v>9</v>
      </c>
      <c r="S86" s="43" t="b">
        <v>0</v>
      </c>
      <c r="T86" s="43" t="b">
        <v>1</v>
      </c>
      <c r="U86" s="45">
        <f t="shared" si="1"/>
        <v>25.5</v>
      </c>
      <c r="V86" s="45">
        <v>0</v>
      </c>
      <c r="W86" s="45">
        <v>25.5</v>
      </c>
    </row>
    <row r="87" spans="4:23" x14ac:dyDescent="0.15">
      <c r="D87" s="40" t="s">
        <v>796</v>
      </c>
      <c r="E87" s="40" t="s">
        <v>203</v>
      </c>
      <c r="F87" s="40" t="s">
        <v>204</v>
      </c>
      <c r="G87" s="40">
        <v>48</v>
      </c>
      <c r="H87" s="41">
        <v>40513.397222222222</v>
      </c>
      <c r="I87" s="40">
        <v>3.45</v>
      </c>
      <c r="J87" s="40">
        <v>15291</v>
      </c>
      <c r="K87" s="40" t="s">
        <v>71</v>
      </c>
      <c r="L87" s="42">
        <v>165.6</v>
      </c>
      <c r="M87" s="40" t="s">
        <v>721</v>
      </c>
      <c r="N87" s="40">
        <v>2010</v>
      </c>
      <c r="O87" s="40" t="s">
        <v>83</v>
      </c>
      <c r="P87" s="40" t="s">
        <v>126</v>
      </c>
      <c r="Q87" s="40" t="s">
        <v>624</v>
      </c>
      <c r="R87" s="40">
        <v>9</v>
      </c>
      <c r="S87" s="40" t="b">
        <v>0</v>
      </c>
      <c r="T87" s="40" t="b">
        <v>1</v>
      </c>
      <c r="U87" s="42">
        <f t="shared" si="1"/>
        <v>165.6</v>
      </c>
      <c r="V87" s="42">
        <v>0</v>
      </c>
      <c r="W87" s="42">
        <v>165.6</v>
      </c>
    </row>
    <row r="88" spans="4:23" x14ac:dyDescent="0.15">
      <c r="D88" s="43" t="s">
        <v>796</v>
      </c>
      <c r="E88" s="43" t="s">
        <v>283</v>
      </c>
      <c r="F88" s="43" t="s">
        <v>284</v>
      </c>
      <c r="G88" s="43">
        <v>64</v>
      </c>
      <c r="H88" s="44">
        <v>40513.397222222222</v>
      </c>
      <c r="I88" s="43">
        <v>2.5499999999999998</v>
      </c>
      <c r="J88" s="43">
        <v>15291</v>
      </c>
      <c r="K88" s="43" t="s">
        <v>71</v>
      </c>
      <c r="L88" s="45">
        <v>163.19999999999999</v>
      </c>
      <c r="M88" s="43" t="s">
        <v>721</v>
      </c>
      <c r="N88" s="43">
        <v>2010</v>
      </c>
      <c r="O88" s="43" t="s">
        <v>83</v>
      </c>
      <c r="P88" s="43" t="s">
        <v>126</v>
      </c>
      <c r="Q88" s="43" t="s">
        <v>624</v>
      </c>
      <c r="R88" s="43">
        <v>9</v>
      </c>
      <c r="S88" s="43" t="b">
        <v>0</v>
      </c>
      <c r="T88" s="43" t="b">
        <v>1</v>
      </c>
      <c r="U88" s="45">
        <f t="shared" si="1"/>
        <v>163.19999999999999</v>
      </c>
      <c r="V88" s="45">
        <v>0</v>
      </c>
      <c r="W88" s="45">
        <v>163.19999999999999</v>
      </c>
    </row>
    <row r="89" spans="4:23" x14ac:dyDescent="0.15">
      <c r="D89" s="40" t="s">
        <v>797</v>
      </c>
      <c r="E89" s="40" t="s">
        <v>731</v>
      </c>
      <c r="F89" s="40" t="s">
        <v>732</v>
      </c>
      <c r="G89" s="40">
        <v>6</v>
      </c>
      <c r="H89" s="41">
        <v>40513.398611111108</v>
      </c>
      <c r="I89" s="40">
        <v>1.85</v>
      </c>
      <c r="J89" s="40">
        <v>17850</v>
      </c>
      <c r="K89" s="40" t="s">
        <v>71</v>
      </c>
      <c r="L89" s="42">
        <v>11.1</v>
      </c>
      <c r="M89" s="40" t="s">
        <v>721</v>
      </c>
      <c r="N89" s="40">
        <v>2010</v>
      </c>
      <c r="O89" s="40" t="s">
        <v>83</v>
      </c>
      <c r="P89" s="40" t="s">
        <v>126</v>
      </c>
      <c r="Q89" s="40" t="s">
        <v>624</v>
      </c>
      <c r="R89" s="40">
        <v>9</v>
      </c>
      <c r="S89" s="40" t="b">
        <v>0</v>
      </c>
      <c r="T89" s="40" t="b">
        <v>1</v>
      </c>
      <c r="U89" s="42">
        <f t="shared" si="1"/>
        <v>11.1</v>
      </c>
      <c r="V89" s="42">
        <v>0</v>
      </c>
      <c r="W89" s="42">
        <v>11.1</v>
      </c>
    </row>
    <row r="90" spans="4:23" x14ac:dyDescent="0.15">
      <c r="D90" s="43" t="s">
        <v>797</v>
      </c>
      <c r="E90" s="43" t="s">
        <v>729</v>
      </c>
      <c r="F90" s="43" t="s">
        <v>730</v>
      </c>
      <c r="G90" s="43">
        <v>6</v>
      </c>
      <c r="H90" s="44">
        <v>40513.398611111108</v>
      </c>
      <c r="I90" s="43">
        <v>1.85</v>
      </c>
      <c r="J90" s="43">
        <v>17850</v>
      </c>
      <c r="K90" s="43" t="s">
        <v>71</v>
      </c>
      <c r="L90" s="45">
        <v>11.1</v>
      </c>
      <c r="M90" s="43" t="s">
        <v>721</v>
      </c>
      <c r="N90" s="43">
        <v>2010</v>
      </c>
      <c r="O90" s="43" t="s">
        <v>83</v>
      </c>
      <c r="P90" s="43" t="s">
        <v>126</v>
      </c>
      <c r="Q90" s="43" t="s">
        <v>624</v>
      </c>
      <c r="R90" s="43">
        <v>9</v>
      </c>
      <c r="S90" s="43" t="b">
        <v>0</v>
      </c>
      <c r="T90" s="43" t="b">
        <v>1</v>
      </c>
      <c r="U90" s="45">
        <f t="shared" si="1"/>
        <v>11.1</v>
      </c>
      <c r="V90" s="45">
        <v>0</v>
      </c>
      <c r="W90" s="45">
        <v>11.1</v>
      </c>
    </row>
    <row r="91" spans="4:23" x14ac:dyDescent="0.15">
      <c r="D91" s="40" t="s">
        <v>798</v>
      </c>
      <c r="E91" s="40" t="s">
        <v>183</v>
      </c>
      <c r="F91" s="40" t="s">
        <v>184</v>
      </c>
      <c r="G91" s="40">
        <v>10</v>
      </c>
      <c r="H91" s="41">
        <v>40513.400694444441</v>
      </c>
      <c r="I91" s="40">
        <v>1.95</v>
      </c>
      <c r="J91" s="40">
        <v>14688</v>
      </c>
      <c r="K91" s="40" t="s">
        <v>71</v>
      </c>
      <c r="L91" s="42">
        <v>19.5</v>
      </c>
      <c r="M91" s="40" t="s">
        <v>721</v>
      </c>
      <c r="N91" s="40">
        <v>2010</v>
      </c>
      <c r="O91" s="40" t="s">
        <v>83</v>
      </c>
      <c r="P91" s="40" t="s">
        <v>126</v>
      </c>
      <c r="Q91" s="40" t="s">
        <v>624</v>
      </c>
      <c r="R91" s="40">
        <v>9</v>
      </c>
      <c r="S91" s="40" t="b">
        <v>0</v>
      </c>
      <c r="T91" s="40" t="b">
        <v>1</v>
      </c>
      <c r="U91" s="42">
        <f t="shared" si="1"/>
        <v>19.5</v>
      </c>
      <c r="V91" s="42">
        <v>0</v>
      </c>
      <c r="W91" s="42">
        <v>19.5</v>
      </c>
    </row>
    <row r="92" spans="4:23" x14ac:dyDescent="0.15">
      <c r="D92" s="43" t="s">
        <v>798</v>
      </c>
      <c r="E92" s="43" t="s">
        <v>233</v>
      </c>
      <c r="F92" s="43" t="s">
        <v>234</v>
      </c>
      <c r="G92" s="43">
        <v>10</v>
      </c>
      <c r="H92" s="44">
        <v>40513.400694444441</v>
      </c>
      <c r="I92" s="43">
        <v>1.95</v>
      </c>
      <c r="J92" s="43">
        <v>14688</v>
      </c>
      <c r="K92" s="43" t="s">
        <v>71</v>
      </c>
      <c r="L92" s="45">
        <v>19.5</v>
      </c>
      <c r="M92" s="43" t="s">
        <v>721</v>
      </c>
      <c r="N92" s="43">
        <v>2010</v>
      </c>
      <c r="O92" s="43" t="s">
        <v>83</v>
      </c>
      <c r="P92" s="43" t="s">
        <v>126</v>
      </c>
      <c r="Q92" s="43" t="s">
        <v>624</v>
      </c>
      <c r="R92" s="43">
        <v>9</v>
      </c>
      <c r="S92" s="43" t="b">
        <v>0</v>
      </c>
      <c r="T92" s="43" t="b">
        <v>1</v>
      </c>
      <c r="U92" s="45">
        <f t="shared" si="1"/>
        <v>19.5</v>
      </c>
      <c r="V92" s="45">
        <v>0</v>
      </c>
      <c r="W92" s="45">
        <v>19.5</v>
      </c>
    </row>
    <row r="93" spans="4:23" x14ac:dyDescent="0.15">
      <c r="D93" s="40" t="s">
        <v>798</v>
      </c>
      <c r="E93" s="40" t="s">
        <v>799</v>
      </c>
      <c r="F93" s="40" t="s">
        <v>800</v>
      </c>
      <c r="G93" s="40">
        <v>10</v>
      </c>
      <c r="H93" s="41">
        <v>40513.400694444441</v>
      </c>
      <c r="I93" s="40">
        <v>2.95</v>
      </c>
      <c r="J93" s="40">
        <v>14688</v>
      </c>
      <c r="K93" s="40" t="s">
        <v>71</v>
      </c>
      <c r="L93" s="42">
        <v>29.5</v>
      </c>
      <c r="M93" s="40" t="s">
        <v>721</v>
      </c>
      <c r="N93" s="40">
        <v>2010</v>
      </c>
      <c r="O93" s="40" t="s">
        <v>83</v>
      </c>
      <c r="P93" s="40" t="s">
        <v>126</v>
      </c>
      <c r="Q93" s="40" t="s">
        <v>624</v>
      </c>
      <c r="R93" s="40">
        <v>9</v>
      </c>
      <c r="S93" s="40" t="b">
        <v>0</v>
      </c>
      <c r="T93" s="40" t="b">
        <v>1</v>
      </c>
      <c r="U93" s="42">
        <f t="shared" si="1"/>
        <v>29.5</v>
      </c>
      <c r="V93" s="42">
        <v>0</v>
      </c>
      <c r="W93" s="42">
        <v>29.5</v>
      </c>
    </row>
    <row r="94" spans="4:23" x14ac:dyDescent="0.15">
      <c r="D94" s="43" t="s">
        <v>798</v>
      </c>
      <c r="E94" s="43" t="s">
        <v>485</v>
      </c>
      <c r="F94" s="43" t="s">
        <v>486</v>
      </c>
      <c r="G94" s="43">
        <v>10</v>
      </c>
      <c r="H94" s="44">
        <v>40513.400694444441</v>
      </c>
      <c r="I94" s="43">
        <v>0.85</v>
      </c>
      <c r="J94" s="43">
        <v>14688</v>
      </c>
      <c r="K94" s="43" t="s">
        <v>71</v>
      </c>
      <c r="L94" s="45">
        <v>8.5</v>
      </c>
      <c r="M94" s="43" t="s">
        <v>721</v>
      </c>
      <c r="N94" s="43">
        <v>2010</v>
      </c>
      <c r="O94" s="43" t="s">
        <v>83</v>
      </c>
      <c r="P94" s="43" t="s">
        <v>126</v>
      </c>
      <c r="Q94" s="43" t="s">
        <v>624</v>
      </c>
      <c r="R94" s="43">
        <v>9</v>
      </c>
      <c r="S94" s="43" t="b">
        <v>0</v>
      </c>
      <c r="T94" s="43" t="b">
        <v>1</v>
      </c>
      <c r="U94" s="45">
        <f t="shared" si="1"/>
        <v>8.5</v>
      </c>
      <c r="V94" s="45">
        <v>0</v>
      </c>
      <c r="W94" s="45">
        <v>8.5</v>
      </c>
    </row>
    <row r="95" spans="4:23" x14ac:dyDescent="0.15">
      <c r="D95" s="40" t="s">
        <v>798</v>
      </c>
      <c r="E95" s="40" t="s">
        <v>801</v>
      </c>
      <c r="F95" s="40" t="s">
        <v>802</v>
      </c>
      <c r="G95" s="40">
        <v>12</v>
      </c>
      <c r="H95" s="41">
        <v>40513.400694444441</v>
      </c>
      <c r="I95" s="40">
        <v>3.75</v>
      </c>
      <c r="J95" s="40">
        <v>14688</v>
      </c>
      <c r="K95" s="40" t="s">
        <v>71</v>
      </c>
      <c r="L95" s="42">
        <v>45</v>
      </c>
      <c r="M95" s="40" t="s">
        <v>721</v>
      </c>
      <c r="N95" s="40">
        <v>2010</v>
      </c>
      <c r="O95" s="40" t="s">
        <v>83</v>
      </c>
      <c r="P95" s="40" t="s">
        <v>126</v>
      </c>
      <c r="Q95" s="40" t="s">
        <v>624</v>
      </c>
      <c r="R95" s="40">
        <v>9</v>
      </c>
      <c r="S95" s="40" t="b">
        <v>0</v>
      </c>
      <c r="T95" s="40" t="b">
        <v>1</v>
      </c>
      <c r="U95" s="42">
        <f t="shared" si="1"/>
        <v>45</v>
      </c>
      <c r="V95" s="42">
        <v>0</v>
      </c>
      <c r="W95" s="42">
        <v>45</v>
      </c>
    </row>
    <row r="96" spans="4:23" x14ac:dyDescent="0.15">
      <c r="D96" s="43" t="s">
        <v>798</v>
      </c>
      <c r="E96" s="43" t="s">
        <v>803</v>
      </c>
      <c r="F96" s="43" t="s">
        <v>804</v>
      </c>
      <c r="G96" s="43">
        <v>6</v>
      </c>
      <c r="H96" s="44">
        <v>40513.400694444441</v>
      </c>
      <c r="I96" s="43">
        <v>3.75</v>
      </c>
      <c r="J96" s="43">
        <v>14688</v>
      </c>
      <c r="K96" s="43" t="s">
        <v>71</v>
      </c>
      <c r="L96" s="45">
        <v>22.5</v>
      </c>
      <c r="M96" s="43" t="s">
        <v>721</v>
      </c>
      <c r="N96" s="43">
        <v>2010</v>
      </c>
      <c r="O96" s="43" t="s">
        <v>83</v>
      </c>
      <c r="P96" s="43" t="s">
        <v>126</v>
      </c>
      <c r="Q96" s="43" t="s">
        <v>624</v>
      </c>
      <c r="R96" s="43">
        <v>9</v>
      </c>
      <c r="S96" s="43" t="b">
        <v>0</v>
      </c>
      <c r="T96" s="43" t="b">
        <v>1</v>
      </c>
      <c r="U96" s="45">
        <f t="shared" si="1"/>
        <v>22.5</v>
      </c>
      <c r="V96" s="45">
        <v>0</v>
      </c>
      <c r="W96" s="45">
        <v>22.5</v>
      </c>
    </row>
    <row r="97" spans="4:23" x14ac:dyDescent="0.15">
      <c r="D97" s="40" t="s">
        <v>798</v>
      </c>
      <c r="E97" s="40" t="s">
        <v>805</v>
      </c>
      <c r="F97" s="40" t="s">
        <v>806</v>
      </c>
      <c r="G97" s="40">
        <v>12</v>
      </c>
      <c r="H97" s="41">
        <v>40513.400694444441</v>
      </c>
      <c r="I97" s="40">
        <v>0.85</v>
      </c>
      <c r="J97" s="40">
        <v>14688</v>
      </c>
      <c r="K97" s="40" t="s">
        <v>71</v>
      </c>
      <c r="L97" s="42">
        <v>10.199999999999999</v>
      </c>
      <c r="M97" s="40" t="s">
        <v>721</v>
      </c>
      <c r="N97" s="40">
        <v>2010</v>
      </c>
      <c r="O97" s="40" t="s">
        <v>83</v>
      </c>
      <c r="P97" s="40" t="s">
        <v>126</v>
      </c>
      <c r="Q97" s="40" t="s">
        <v>624</v>
      </c>
      <c r="R97" s="40">
        <v>9</v>
      </c>
      <c r="S97" s="40" t="b">
        <v>0</v>
      </c>
      <c r="T97" s="40" t="b">
        <v>1</v>
      </c>
      <c r="U97" s="42">
        <f t="shared" si="1"/>
        <v>10.199999999999999</v>
      </c>
      <c r="V97" s="42">
        <v>0</v>
      </c>
      <c r="W97" s="42">
        <v>10.199999999999999</v>
      </c>
    </row>
    <row r="98" spans="4:23" x14ac:dyDescent="0.15">
      <c r="D98" s="43" t="s">
        <v>798</v>
      </c>
      <c r="E98" s="43" t="s">
        <v>197</v>
      </c>
      <c r="F98" s="43" t="s">
        <v>198</v>
      </c>
      <c r="G98" s="43">
        <v>10</v>
      </c>
      <c r="H98" s="44">
        <v>40513.400694444441</v>
      </c>
      <c r="I98" s="43">
        <v>1.65</v>
      </c>
      <c r="J98" s="43">
        <v>14688</v>
      </c>
      <c r="K98" s="43" t="s">
        <v>71</v>
      </c>
      <c r="L98" s="45">
        <v>16.5</v>
      </c>
      <c r="M98" s="43" t="s">
        <v>721</v>
      </c>
      <c r="N98" s="43">
        <v>2010</v>
      </c>
      <c r="O98" s="43" t="s">
        <v>83</v>
      </c>
      <c r="P98" s="43" t="s">
        <v>126</v>
      </c>
      <c r="Q98" s="43" t="s">
        <v>624</v>
      </c>
      <c r="R98" s="43">
        <v>9</v>
      </c>
      <c r="S98" s="43" t="b">
        <v>0</v>
      </c>
      <c r="T98" s="43" t="b">
        <v>1</v>
      </c>
      <c r="U98" s="45">
        <f t="shared" si="1"/>
        <v>16.5</v>
      </c>
      <c r="V98" s="45">
        <v>0</v>
      </c>
      <c r="W98" s="45">
        <v>16.5</v>
      </c>
    </row>
    <row r="99" spans="4:23" x14ac:dyDescent="0.15">
      <c r="D99" s="40" t="s">
        <v>798</v>
      </c>
      <c r="E99" s="40" t="s">
        <v>807</v>
      </c>
      <c r="F99" s="40" t="s">
        <v>808</v>
      </c>
      <c r="G99" s="40">
        <v>6</v>
      </c>
      <c r="H99" s="41">
        <v>40513.400694444441</v>
      </c>
      <c r="I99" s="40">
        <v>2.5499999999999998</v>
      </c>
      <c r="J99" s="40">
        <v>14688</v>
      </c>
      <c r="K99" s="40" t="s">
        <v>71</v>
      </c>
      <c r="L99" s="42">
        <v>15.3</v>
      </c>
      <c r="M99" s="40" t="s">
        <v>721</v>
      </c>
      <c r="N99" s="40">
        <v>2010</v>
      </c>
      <c r="O99" s="40" t="s">
        <v>83</v>
      </c>
      <c r="P99" s="40" t="s">
        <v>126</v>
      </c>
      <c r="Q99" s="40" t="s">
        <v>624</v>
      </c>
      <c r="R99" s="40">
        <v>9</v>
      </c>
      <c r="S99" s="40" t="b">
        <v>0</v>
      </c>
      <c r="T99" s="40" t="b">
        <v>1</v>
      </c>
      <c r="U99" s="42">
        <f t="shared" si="1"/>
        <v>15.3</v>
      </c>
      <c r="V99" s="42">
        <v>0</v>
      </c>
      <c r="W99" s="42">
        <v>15.3</v>
      </c>
    </row>
    <row r="100" spans="4:23" x14ac:dyDescent="0.15">
      <c r="D100" s="43" t="s">
        <v>798</v>
      </c>
      <c r="E100" s="43" t="s">
        <v>809</v>
      </c>
      <c r="F100" s="43" t="s">
        <v>810</v>
      </c>
      <c r="G100" s="43">
        <v>6</v>
      </c>
      <c r="H100" s="44">
        <v>40513.400694444441</v>
      </c>
      <c r="I100" s="43">
        <v>2.5499999999999998</v>
      </c>
      <c r="J100" s="43">
        <v>14688</v>
      </c>
      <c r="K100" s="43" t="s">
        <v>71</v>
      </c>
      <c r="L100" s="45">
        <v>15.3</v>
      </c>
      <c r="M100" s="43" t="s">
        <v>721</v>
      </c>
      <c r="N100" s="43">
        <v>2010</v>
      </c>
      <c r="O100" s="43" t="s">
        <v>83</v>
      </c>
      <c r="P100" s="43" t="s">
        <v>126</v>
      </c>
      <c r="Q100" s="43" t="s">
        <v>624</v>
      </c>
      <c r="R100" s="43">
        <v>9</v>
      </c>
      <c r="S100" s="43" t="b">
        <v>0</v>
      </c>
      <c r="T100" s="43" t="b">
        <v>1</v>
      </c>
      <c r="U100" s="45">
        <f t="shared" si="1"/>
        <v>15.3</v>
      </c>
      <c r="V100" s="45">
        <v>0</v>
      </c>
      <c r="W100" s="45">
        <v>15.3</v>
      </c>
    </row>
    <row r="101" spans="4:23" x14ac:dyDescent="0.15">
      <c r="D101" s="40" t="s">
        <v>798</v>
      </c>
      <c r="E101" s="40" t="s">
        <v>323</v>
      </c>
      <c r="F101" s="40" t="s">
        <v>324</v>
      </c>
      <c r="G101" s="40">
        <v>120</v>
      </c>
      <c r="H101" s="41">
        <v>40513.400694444441</v>
      </c>
      <c r="I101" s="40">
        <v>0.42</v>
      </c>
      <c r="J101" s="40">
        <v>14688</v>
      </c>
      <c r="K101" s="40" t="s">
        <v>71</v>
      </c>
      <c r="L101" s="42">
        <v>50.4</v>
      </c>
      <c r="M101" s="40" t="s">
        <v>721</v>
      </c>
      <c r="N101" s="40">
        <v>2010</v>
      </c>
      <c r="O101" s="40" t="s">
        <v>83</v>
      </c>
      <c r="P101" s="40" t="s">
        <v>126</v>
      </c>
      <c r="Q101" s="40" t="s">
        <v>624</v>
      </c>
      <c r="R101" s="40">
        <v>9</v>
      </c>
      <c r="S101" s="40" t="b">
        <v>0</v>
      </c>
      <c r="T101" s="40" t="b">
        <v>1</v>
      </c>
      <c r="U101" s="42">
        <f t="shared" si="1"/>
        <v>50.4</v>
      </c>
      <c r="V101" s="42">
        <v>0</v>
      </c>
      <c r="W101" s="42">
        <v>50.4</v>
      </c>
    </row>
    <row r="102" spans="4:23" x14ac:dyDescent="0.15">
      <c r="D102" s="43" t="s">
        <v>798</v>
      </c>
      <c r="E102" s="43" t="s">
        <v>811</v>
      </c>
      <c r="F102" s="43" t="s">
        <v>812</v>
      </c>
      <c r="G102" s="43">
        <v>24</v>
      </c>
      <c r="H102" s="44">
        <v>40513.400694444441</v>
      </c>
      <c r="I102" s="43">
        <v>0.55000000000000004</v>
      </c>
      <c r="J102" s="43">
        <v>14688</v>
      </c>
      <c r="K102" s="43" t="s">
        <v>71</v>
      </c>
      <c r="L102" s="45">
        <v>13.2</v>
      </c>
      <c r="M102" s="43" t="s">
        <v>721</v>
      </c>
      <c r="N102" s="43">
        <v>2010</v>
      </c>
      <c r="O102" s="43" t="s">
        <v>83</v>
      </c>
      <c r="P102" s="43" t="s">
        <v>126</v>
      </c>
      <c r="Q102" s="43" t="s">
        <v>624</v>
      </c>
      <c r="R102" s="43">
        <v>9</v>
      </c>
      <c r="S102" s="43" t="b">
        <v>0</v>
      </c>
      <c r="T102" s="43" t="b">
        <v>1</v>
      </c>
      <c r="U102" s="45">
        <f t="shared" si="1"/>
        <v>13.2</v>
      </c>
      <c r="V102" s="45">
        <v>0</v>
      </c>
      <c r="W102" s="45">
        <v>13.2</v>
      </c>
    </row>
    <row r="103" spans="4:23" x14ac:dyDescent="0.15">
      <c r="D103" s="40" t="s">
        <v>798</v>
      </c>
      <c r="E103" s="40" t="s">
        <v>499</v>
      </c>
      <c r="F103" s="40" t="s">
        <v>500</v>
      </c>
      <c r="G103" s="40">
        <v>24</v>
      </c>
      <c r="H103" s="41">
        <v>40513.400694444441</v>
      </c>
      <c r="I103" s="40">
        <v>0.55000000000000004</v>
      </c>
      <c r="J103" s="40">
        <v>14688</v>
      </c>
      <c r="K103" s="40" t="s">
        <v>71</v>
      </c>
      <c r="L103" s="42">
        <v>13.2</v>
      </c>
      <c r="M103" s="40" t="s">
        <v>721</v>
      </c>
      <c r="N103" s="40">
        <v>2010</v>
      </c>
      <c r="O103" s="40" t="s">
        <v>83</v>
      </c>
      <c r="P103" s="40" t="s">
        <v>126</v>
      </c>
      <c r="Q103" s="40" t="s">
        <v>624</v>
      </c>
      <c r="R103" s="40">
        <v>9</v>
      </c>
      <c r="S103" s="40" t="b">
        <v>0</v>
      </c>
      <c r="T103" s="40" t="b">
        <v>1</v>
      </c>
      <c r="U103" s="42">
        <f t="shared" si="1"/>
        <v>13.2</v>
      </c>
      <c r="V103" s="42">
        <v>0</v>
      </c>
      <c r="W103" s="42">
        <v>13.2</v>
      </c>
    </row>
    <row r="104" spans="4:23" x14ac:dyDescent="0.15">
      <c r="D104" s="43" t="s">
        <v>798</v>
      </c>
      <c r="E104" s="43" t="s">
        <v>813</v>
      </c>
      <c r="F104" s="43" t="s">
        <v>814</v>
      </c>
      <c r="G104" s="43">
        <v>24</v>
      </c>
      <c r="H104" s="44">
        <v>40513.400694444441</v>
      </c>
      <c r="I104" s="43">
        <v>0.55000000000000004</v>
      </c>
      <c r="J104" s="43">
        <v>14688</v>
      </c>
      <c r="K104" s="43" t="s">
        <v>71</v>
      </c>
      <c r="L104" s="45">
        <v>13.2</v>
      </c>
      <c r="M104" s="43" t="s">
        <v>721</v>
      </c>
      <c r="N104" s="43">
        <v>2010</v>
      </c>
      <c r="O104" s="43" t="s">
        <v>83</v>
      </c>
      <c r="P104" s="43" t="s">
        <v>126</v>
      </c>
      <c r="Q104" s="43" t="s">
        <v>624</v>
      </c>
      <c r="R104" s="43">
        <v>9</v>
      </c>
      <c r="S104" s="43" t="b">
        <v>0</v>
      </c>
      <c r="T104" s="43" t="b">
        <v>1</v>
      </c>
      <c r="U104" s="45">
        <f t="shared" si="1"/>
        <v>13.2</v>
      </c>
      <c r="V104" s="45">
        <v>0</v>
      </c>
      <c r="W104" s="45">
        <v>13.2</v>
      </c>
    </row>
    <row r="105" spans="4:23" x14ac:dyDescent="0.15">
      <c r="D105" s="40" t="s">
        <v>798</v>
      </c>
      <c r="E105" s="40" t="s">
        <v>815</v>
      </c>
      <c r="F105" s="40" t="s">
        <v>816</v>
      </c>
      <c r="G105" s="40">
        <v>6</v>
      </c>
      <c r="H105" s="41">
        <v>40513.400694444441</v>
      </c>
      <c r="I105" s="40">
        <v>2.95</v>
      </c>
      <c r="J105" s="40">
        <v>14688</v>
      </c>
      <c r="K105" s="40" t="s">
        <v>71</v>
      </c>
      <c r="L105" s="42">
        <v>17.7</v>
      </c>
      <c r="M105" s="40" t="s">
        <v>721</v>
      </c>
      <c r="N105" s="40">
        <v>2010</v>
      </c>
      <c r="O105" s="40" t="s">
        <v>83</v>
      </c>
      <c r="P105" s="40" t="s">
        <v>126</v>
      </c>
      <c r="Q105" s="40" t="s">
        <v>624</v>
      </c>
      <c r="R105" s="40">
        <v>9</v>
      </c>
      <c r="S105" s="40" t="b">
        <v>0</v>
      </c>
      <c r="T105" s="40" t="b">
        <v>1</v>
      </c>
      <c r="U105" s="42">
        <f t="shared" si="1"/>
        <v>17.7</v>
      </c>
      <c r="V105" s="42">
        <v>0</v>
      </c>
      <c r="W105" s="42">
        <v>17.7</v>
      </c>
    </row>
    <row r="106" spans="4:23" x14ac:dyDescent="0.15">
      <c r="D106" s="43" t="s">
        <v>798</v>
      </c>
      <c r="E106" s="43" t="s">
        <v>817</v>
      </c>
      <c r="F106" s="43" t="s">
        <v>818</v>
      </c>
      <c r="G106" s="43">
        <v>48</v>
      </c>
      <c r="H106" s="44">
        <v>40513.400694444441</v>
      </c>
      <c r="I106" s="43">
        <v>1.25</v>
      </c>
      <c r="J106" s="43">
        <v>14688</v>
      </c>
      <c r="K106" s="43" t="s">
        <v>71</v>
      </c>
      <c r="L106" s="45">
        <v>60</v>
      </c>
      <c r="M106" s="43" t="s">
        <v>721</v>
      </c>
      <c r="N106" s="43">
        <v>2010</v>
      </c>
      <c r="O106" s="43" t="s">
        <v>83</v>
      </c>
      <c r="P106" s="43" t="s">
        <v>126</v>
      </c>
      <c r="Q106" s="43" t="s">
        <v>624</v>
      </c>
      <c r="R106" s="43">
        <v>9</v>
      </c>
      <c r="S106" s="43" t="b">
        <v>0</v>
      </c>
      <c r="T106" s="43" t="b">
        <v>1</v>
      </c>
      <c r="U106" s="45">
        <f t="shared" si="1"/>
        <v>60</v>
      </c>
      <c r="V106" s="45">
        <v>0</v>
      </c>
      <c r="W106" s="45">
        <v>60</v>
      </c>
    </row>
    <row r="107" spans="4:23" x14ac:dyDescent="0.15">
      <c r="D107" s="40" t="s">
        <v>798</v>
      </c>
      <c r="E107" s="40" t="s">
        <v>819</v>
      </c>
      <c r="F107" s="40" t="s">
        <v>820</v>
      </c>
      <c r="G107" s="40">
        <v>96</v>
      </c>
      <c r="H107" s="41">
        <v>40513.400694444441</v>
      </c>
      <c r="I107" s="40">
        <v>0.38</v>
      </c>
      <c r="J107" s="40">
        <v>14688</v>
      </c>
      <c r="K107" s="40" t="s">
        <v>71</v>
      </c>
      <c r="L107" s="42">
        <v>36.479999999999997</v>
      </c>
      <c r="M107" s="40" t="s">
        <v>721</v>
      </c>
      <c r="N107" s="40">
        <v>2010</v>
      </c>
      <c r="O107" s="40" t="s">
        <v>83</v>
      </c>
      <c r="P107" s="40" t="s">
        <v>126</v>
      </c>
      <c r="Q107" s="40" t="s">
        <v>624</v>
      </c>
      <c r="R107" s="40">
        <v>9</v>
      </c>
      <c r="S107" s="40" t="b">
        <v>0</v>
      </c>
      <c r="T107" s="40" t="b">
        <v>1</v>
      </c>
      <c r="U107" s="42">
        <f t="shared" si="1"/>
        <v>36.479999999999997</v>
      </c>
      <c r="V107" s="42">
        <v>0</v>
      </c>
      <c r="W107" s="42">
        <v>36.479999999999997</v>
      </c>
    </row>
    <row r="108" spans="4:23" x14ac:dyDescent="0.15">
      <c r="D108" s="43" t="s">
        <v>798</v>
      </c>
      <c r="E108" s="43" t="s">
        <v>215</v>
      </c>
      <c r="F108" s="43" t="s">
        <v>216</v>
      </c>
      <c r="G108" s="43">
        <v>10</v>
      </c>
      <c r="H108" s="44">
        <v>40513.400694444441</v>
      </c>
      <c r="I108" s="43">
        <v>1.95</v>
      </c>
      <c r="J108" s="43">
        <v>14688</v>
      </c>
      <c r="K108" s="43" t="s">
        <v>71</v>
      </c>
      <c r="L108" s="45">
        <v>19.5</v>
      </c>
      <c r="M108" s="43" t="s">
        <v>721</v>
      </c>
      <c r="N108" s="43">
        <v>2010</v>
      </c>
      <c r="O108" s="43" t="s">
        <v>83</v>
      </c>
      <c r="P108" s="43" t="s">
        <v>126</v>
      </c>
      <c r="Q108" s="43" t="s">
        <v>624</v>
      </c>
      <c r="R108" s="43">
        <v>9</v>
      </c>
      <c r="S108" s="43" t="b">
        <v>0</v>
      </c>
      <c r="T108" s="43" t="b">
        <v>1</v>
      </c>
      <c r="U108" s="45">
        <f t="shared" si="1"/>
        <v>19.5</v>
      </c>
      <c r="V108" s="45">
        <v>0</v>
      </c>
      <c r="W108" s="45">
        <v>19.5</v>
      </c>
    </row>
    <row r="109" spans="4:23" x14ac:dyDescent="0.15">
      <c r="D109" s="40" t="s">
        <v>798</v>
      </c>
      <c r="E109" s="40" t="s">
        <v>285</v>
      </c>
      <c r="F109" s="40" t="s">
        <v>286</v>
      </c>
      <c r="G109" s="40">
        <v>10</v>
      </c>
      <c r="H109" s="41">
        <v>40513.400694444441</v>
      </c>
      <c r="I109" s="40">
        <v>1.95</v>
      </c>
      <c r="J109" s="40">
        <v>14688</v>
      </c>
      <c r="K109" s="40" t="s">
        <v>71</v>
      </c>
      <c r="L109" s="42">
        <v>19.5</v>
      </c>
      <c r="M109" s="40" t="s">
        <v>721</v>
      </c>
      <c r="N109" s="40">
        <v>2010</v>
      </c>
      <c r="O109" s="40" t="s">
        <v>83</v>
      </c>
      <c r="P109" s="40" t="s">
        <v>126</v>
      </c>
      <c r="Q109" s="40" t="s">
        <v>624</v>
      </c>
      <c r="R109" s="40">
        <v>9</v>
      </c>
      <c r="S109" s="40" t="b">
        <v>0</v>
      </c>
      <c r="T109" s="40" t="b">
        <v>1</v>
      </c>
      <c r="U109" s="42">
        <f t="shared" si="1"/>
        <v>19.5</v>
      </c>
      <c r="V109" s="42">
        <v>0</v>
      </c>
      <c r="W109" s="42">
        <v>19.5</v>
      </c>
    </row>
    <row r="110" spans="4:23" x14ac:dyDescent="0.15">
      <c r="D110" s="43" t="s">
        <v>821</v>
      </c>
      <c r="E110" s="43" t="s">
        <v>251</v>
      </c>
      <c r="F110" s="43" t="s">
        <v>252</v>
      </c>
      <c r="G110" s="43">
        <v>24</v>
      </c>
      <c r="H110" s="44">
        <v>40513.40347222222</v>
      </c>
      <c r="I110" s="43">
        <v>1.45</v>
      </c>
      <c r="J110" s="43">
        <v>17809</v>
      </c>
      <c r="K110" s="43" t="s">
        <v>71</v>
      </c>
      <c r="L110" s="45">
        <v>34.799999999999997</v>
      </c>
      <c r="M110" s="43" t="s">
        <v>721</v>
      </c>
      <c r="N110" s="43">
        <v>2010</v>
      </c>
      <c r="O110" s="43" t="s">
        <v>83</v>
      </c>
      <c r="P110" s="43" t="s">
        <v>126</v>
      </c>
      <c r="Q110" s="43" t="s">
        <v>624</v>
      </c>
      <c r="R110" s="43">
        <v>9</v>
      </c>
      <c r="S110" s="43" t="b">
        <v>0</v>
      </c>
      <c r="T110" s="43" t="b">
        <v>1</v>
      </c>
      <c r="U110" s="45">
        <f t="shared" si="1"/>
        <v>34.799999999999997</v>
      </c>
      <c r="V110" s="45">
        <v>0</v>
      </c>
      <c r="W110" s="45">
        <v>34.799999999999997</v>
      </c>
    </row>
    <row r="111" spans="4:23" x14ac:dyDescent="0.15">
      <c r="D111" s="40" t="s">
        <v>822</v>
      </c>
      <c r="E111" s="40" t="s">
        <v>293</v>
      </c>
      <c r="F111" s="40" t="s">
        <v>294</v>
      </c>
      <c r="G111" s="40">
        <v>23</v>
      </c>
      <c r="H111" s="41">
        <v>40513.40347222222</v>
      </c>
      <c r="I111" s="40">
        <v>4.25</v>
      </c>
      <c r="J111" s="40">
        <v>15311</v>
      </c>
      <c r="K111" s="40" t="s">
        <v>71</v>
      </c>
      <c r="L111" s="42">
        <v>97.75</v>
      </c>
      <c r="M111" s="40" t="s">
        <v>721</v>
      </c>
      <c r="N111" s="40">
        <v>2010</v>
      </c>
      <c r="O111" s="40" t="s">
        <v>83</v>
      </c>
      <c r="P111" s="40" t="s">
        <v>126</v>
      </c>
      <c r="Q111" s="40" t="s">
        <v>624</v>
      </c>
      <c r="R111" s="40">
        <v>9</v>
      </c>
      <c r="S111" s="40" t="b">
        <v>0</v>
      </c>
      <c r="T111" s="40" t="b">
        <v>1</v>
      </c>
      <c r="U111" s="42">
        <f t="shared" si="1"/>
        <v>97.75</v>
      </c>
      <c r="V111" s="42">
        <v>0</v>
      </c>
      <c r="W111" s="42">
        <v>97.75</v>
      </c>
    </row>
    <row r="112" spans="4:23" x14ac:dyDescent="0.15">
      <c r="D112" s="43" t="s">
        <v>822</v>
      </c>
      <c r="E112" s="43" t="s">
        <v>823</v>
      </c>
      <c r="F112" s="43" t="s">
        <v>824</v>
      </c>
      <c r="G112" s="43">
        <v>5</v>
      </c>
      <c r="H112" s="44">
        <v>40513.40347222222</v>
      </c>
      <c r="I112" s="43">
        <v>4.95</v>
      </c>
      <c r="J112" s="43">
        <v>15311</v>
      </c>
      <c r="K112" s="43" t="s">
        <v>71</v>
      </c>
      <c r="L112" s="45">
        <v>24.75</v>
      </c>
      <c r="M112" s="43" t="s">
        <v>721</v>
      </c>
      <c r="N112" s="43">
        <v>2010</v>
      </c>
      <c r="O112" s="43" t="s">
        <v>83</v>
      </c>
      <c r="P112" s="43" t="s">
        <v>126</v>
      </c>
      <c r="Q112" s="43" t="s">
        <v>624</v>
      </c>
      <c r="R112" s="43">
        <v>9</v>
      </c>
      <c r="S112" s="43" t="b">
        <v>0</v>
      </c>
      <c r="T112" s="43" t="b">
        <v>1</v>
      </c>
      <c r="U112" s="45">
        <f t="shared" si="1"/>
        <v>24.75</v>
      </c>
      <c r="V112" s="45">
        <v>0</v>
      </c>
      <c r="W112" s="45">
        <v>24.75</v>
      </c>
    </row>
    <row r="113" spans="4:23" x14ac:dyDescent="0.15">
      <c r="D113" s="40" t="s">
        <v>822</v>
      </c>
      <c r="E113" s="40" t="s">
        <v>229</v>
      </c>
      <c r="F113" s="40" t="s">
        <v>230</v>
      </c>
      <c r="G113" s="40">
        <v>10</v>
      </c>
      <c r="H113" s="41">
        <v>40513.40347222222</v>
      </c>
      <c r="I113" s="40">
        <v>1.95</v>
      </c>
      <c r="J113" s="40">
        <v>15311</v>
      </c>
      <c r="K113" s="40" t="s">
        <v>71</v>
      </c>
      <c r="L113" s="42">
        <v>19.5</v>
      </c>
      <c r="M113" s="40" t="s">
        <v>721</v>
      </c>
      <c r="N113" s="40">
        <v>2010</v>
      </c>
      <c r="O113" s="40" t="s">
        <v>83</v>
      </c>
      <c r="P113" s="40" t="s">
        <v>126</v>
      </c>
      <c r="Q113" s="40" t="s">
        <v>624</v>
      </c>
      <c r="R113" s="40">
        <v>9</v>
      </c>
      <c r="S113" s="40" t="b">
        <v>0</v>
      </c>
      <c r="T113" s="40" t="b">
        <v>1</v>
      </c>
      <c r="U113" s="42">
        <f t="shared" si="1"/>
        <v>19.5</v>
      </c>
      <c r="V113" s="42">
        <v>0</v>
      </c>
      <c r="W113" s="42">
        <v>19.5</v>
      </c>
    </row>
    <row r="114" spans="4:23" x14ac:dyDescent="0.15">
      <c r="D114" s="43" t="s">
        <v>822</v>
      </c>
      <c r="E114" s="43" t="s">
        <v>825</v>
      </c>
      <c r="F114" s="43" t="s">
        <v>826</v>
      </c>
      <c r="G114" s="43">
        <v>2</v>
      </c>
      <c r="H114" s="44">
        <v>40513.40347222222</v>
      </c>
      <c r="I114" s="43">
        <v>2.1</v>
      </c>
      <c r="J114" s="43">
        <v>15311</v>
      </c>
      <c r="K114" s="43" t="s">
        <v>71</v>
      </c>
      <c r="L114" s="45">
        <v>4.2</v>
      </c>
      <c r="M114" s="43" t="s">
        <v>721</v>
      </c>
      <c r="N114" s="43">
        <v>2010</v>
      </c>
      <c r="O114" s="43" t="s">
        <v>83</v>
      </c>
      <c r="P114" s="43" t="s">
        <v>126</v>
      </c>
      <c r="Q114" s="43" t="s">
        <v>624</v>
      </c>
      <c r="R114" s="43">
        <v>9</v>
      </c>
      <c r="S114" s="43" t="b">
        <v>0</v>
      </c>
      <c r="T114" s="43" t="b">
        <v>1</v>
      </c>
      <c r="U114" s="45">
        <f t="shared" si="1"/>
        <v>4.2</v>
      </c>
      <c r="V114" s="45">
        <v>0</v>
      </c>
      <c r="W114" s="45">
        <v>4.2</v>
      </c>
    </row>
    <row r="115" spans="4:23" x14ac:dyDescent="0.15">
      <c r="D115" s="40" t="s">
        <v>822</v>
      </c>
      <c r="E115" s="40" t="s">
        <v>827</v>
      </c>
      <c r="F115" s="40" t="s">
        <v>828</v>
      </c>
      <c r="G115" s="40">
        <v>6</v>
      </c>
      <c r="H115" s="41">
        <v>40513.40347222222</v>
      </c>
      <c r="I115" s="40">
        <v>1.25</v>
      </c>
      <c r="J115" s="40">
        <v>15311</v>
      </c>
      <c r="K115" s="40" t="s">
        <v>71</v>
      </c>
      <c r="L115" s="42">
        <v>7.5</v>
      </c>
      <c r="M115" s="40" t="s">
        <v>721</v>
      </c>
      <c r="N115" s="40">
        <v>2010</v>
      </c>
      <c r="O115" s="40" t="s">
        <v>83</v>
      </c>
      <c r="P115" s="40" t="s">
        <v>126</v>
      </c>
      <c r="Q115" s="40" t="s">
        <v>624</v>
      </c>
      <c r="R115" s="40">
        <v>9</v>
      </c>
      <c r="S115" s="40" t="b">
        <v>0</v>
      </c>
      <c r="T115" s="40" t="b">
        <v>1</v>
      </c>
      <c r="U115" s="42">
        <f t="shared" si="1"/>
        <v>7.5</v>
      </c>
      <c r="V115" s="42">
        <v>0</v>
      </c>
      <c r="W115" s="42">
        <v>7.5</v>
      </c>
    </row>
    <row r="116" spans="4:23" x14ac:dyDescent="0.15">
      <c r="D116" s="43" t="s">
        <v>822</v>
      </c>
      <c r="E116" s="43" t="s">
        <v>829</v>
      </c>
      <c r="F116" s="43" t="s">
        <v>830</v>
      </c>
      <c r="G116" s="43">
        <v>24</v>
      </c>
      <c r="H116" s="44">
        <v>40513.40347222222</v>
      </c>
      <c r="I116" s="43">
        <v>1.25</v>
      </c>
      <c r="J116" s="43">
        <v>15311</v>
      </c>
      <c r="K116" s="43" t="s">
        <v>71</v>
      </c>
      <c r="L116" s="45">
        <v>30</v>
      </c>
      <c r="M116" s="43" t="s">
        <v>721</v>
      </c>
      <c r="N116" s="43">
        <v>2010</v>
      </c>
      <c r="O116" s="43" t="s">
        <v>83</v>
      </c>
      <c r="P116" s="43" t="s">
        <v>126</v>
      </c>
      <c r="Q116" s="43" t="s">
        <v>624</v>
      </c>
      <c r="R116" s="43">
        <v>9</v>
      </c>
      <c r="S116" s="43" t="b">
        <v>0</v>
      </c>
      <c r="T116" s="43" t="b">
        <v>1</v>
      </c>
      <c r="U116" s="45">
        <f t="shared" si="1"/>
        <v>30</v>
      </c>
      <c r="V116" s="45">
        <v>0</v>
      </c>
      <c r="W116" s="45">
        <v>30</v>
      </c>
    </row>
    <row r="117" spans="4:23" x14ac:dyDescent="0.15">
      <c r="D117" s="40" t="s">
        <v>822</v>
      </c>
      <c r="E117" s="40" t="s">
        <v>831</v>
      </c>
      <c r="F117" s="40" t="s">
        <v>832</v>
      </c>
      <c r="G117" s="40">
        <v>24</v>
      </c>
      <c r="H117" s="41">
        <v>40513.40347222222</v>
      </c>
      <c r="I117" s="40">
        <v>1.25</v>
      </c>
      <c r="J117" s="40">
        <v>15311</v>
      </c>
      <c r="K117" s="40" t="s">
        <v>71</v>
      </c>
      <c r="L117" s="42">
        <v>30</v>
      </c>
      <c r="M117" s="40" t="s">
        <v>721</v>
      </c>
      <c r="N117" s="40">
        <v>2010</v>
      </c>
      <c r="O117" s="40" t="s">
        <v>83</v>
      </c>
      <c r="P117" s="40" t="s">
        <v>126</v>
      </c>
      <c r="Q117" s="40" t="s">
        <v>624</v>
      </c>
      <c r="R117" s="40">
        <v>9</v>
      </c>
      <c r="S117" s="40" t="b">
        <v>0</v>
      </c>
      <c r="T117" s="40" t="b">
        <v>1</v>
      </c>
      <c r="U117" s="42">
        <f t="shared" si="1"/>
        <v>30</v>
      </c>
      <c r="V117" s="42">
        <v>0</v>
      </c>
      <c r="W117" s="42">
        <v>30</v>
      </c>
    </row>
    <row r="118" spans="4:23" x14ac:dyDescent="0.15">
      <c r="D118" s="43" t="s">
        <v>822</v>
      </c>
      <c r="E118" s="43" t="s">
        <v>833</v>
      </c>
      <c r="F118" s="43" t="s">
        <v>834</v>
      </c>
      <c r="G118" s="43">
        <v>1</v>
      </c>
      <c r="H118" s="44">
        <v>40513.40347222222</v>
      </c>
      <c r="I118" s="43">
        <v>1.25</v>
      </c>
      <c r="J118" s="43">
        <v>15311</v>
      </c>
      <c r="K118" s="43" t="s">
        <v>71</v>
      </c>
      <c r="L118" s="45">
        <v>1.25</v>
      </c>
      <c r="M118" s="43" t="s">
        <v>721</v>
      </c>
      <c r="N118" s="43">
        <v>2010</v>
      </c>
      <c r="O118" s="43" t="s">
        <v>83</v>
      </c>
      <c r="P118" s="43" t="s">
        <v>126</v>
      </c>
      <c r="Q118" s="43" t="s">
        <v>624</v>
      </c>
      <c r="R118" s="43">
        <v>9</v>
      </c>
      <c r="S118" s="43" t="b">
        <v>0</v>
      </c>
      <c r="T118" s="43" t="b">
        <v>1</v>
      </c>
      <c r="U118" s="45">
        <f t="shared" si="1"/>
        <v>1.25</v>
      </c>
      <c r="V118" s="45">
        <v>0</v>
      </c>
      <c r="W118" s="45">
        <v>1.25</v>
      </c>
    </row>
    <row r="119" spans="4:23" x14ac:dyDescent="0.15">
      <c r="D119" s="40" t="s">
        <v>822</v>
      </c>
      <c r="E119" s="40" t="s">
        <v>835</v>
      </c>
      <c r="F119" s="40" t="s">
        <v>836</v>
      </c>
      <c r="G119" s="40">
        <v>1</v>
      </c>
      <c r="H119" s="41">
        <v>40513.40347222222</v>
      </c>
      <c r="I119" s="40">
        <v>0.85</v>
      </c>
      <c r="J119" s="40">
        <v>15311</v>
      </c>
      <c r="K119" s="40" t="s">
        <v>71</v>
      </c>
      <c r="L119" s="42">
        <v>0.85</v>
      </c>
      <c r="M119" s="40" t="s">
        <v>721</v>
      </c>
      <c r="N119" s="40">
        <v>2010</v>
      </c>
      <c r="O119" s="40" t="s">
        <v>83</v>
      </c>
      <c r="P119" s="40" t="s">
        <v>126</v>
      </c>
      <c r="Q119" s="40" t="s">
        <v>624</v>
      </c>
      <c r="R119" s="40">
        <v>9</v>
      </c>
      <c r="S119" s="40" t="b">
        <v>0</v>
      </c>
      <c r="T119" s="40" t="b">
        <v>1</v>
      </c>
      <c r="U119" s="42">
        <f t="shared" si="1"/>
        <v>0.85</v>
      </c>
      <c r="V119" s="42">
        <v>0</v>
      </c>
      <c r="W119" s="42">
        <v>0.85</v>
      </c>
    </row>
    <row r="120" spans="4:23" x14ac:dyDescent="0.15">
      <c r="D120" s="43" t="s">
        <v>822</v>
      </c>
      <c r="E120" s="43" t="s">
        <v>837</v>
      </c>
      <c r="F120" s="43" t="s">
        <v>838</v>
      </c>
      <c r="G120" s="43">
        <v>1</v>
      </c>
      <c r="H120" s="44">
        <v>40513.40347222222</v>
      </c>
      <c r="I120" s="43">
        <v>2.5499999999999998</v>
      </c>
      <c r="J120" s="43">
        <v>15311</v>
      </c>
      <c r="K120" s="43" t="s">
        <v>71</v>
      </c>
      <c r="L120" s="45">
        <v>2.5499999999999998</v>
      </c>
      <c r="M120" s="43" t="s">
        <v>721</v>
      </c>
      <c r="N120" s="43">
        <v>2010</v>
      </c>
      <c r="O120" s="43" t="s">
        <v>83</v>
      </c>
      <c r="P120" s="43" t="s">
        <v>126</v>
      </c>
      <c r="Q120" s="43" t="s">
        <v>624</v>
      </c>
      <c r="R120" s="43">
        <v>9</v>
      </c>
      <c r="S120" s="43" t="b">
        <v>0</v>
      </c>
      <c r="T120" s="43" t="b">
        <v>1</v>
      </c>
      <c r="U120" s="45">
        <f t="shared" si="1"/>
        <v>2.5499999999999998</v>
      </c>
      <c r="V120" s="45">
        <v>0</v>
      </c>
      <c r="W120" s="45">
        <v>2.5499999999999998</v>
      </c>
    </row>
    <row r="121" spans="4:23" x14ac:dyDescent="0.15">
      <c r="D121" s="40" t="s">
        <v>822</v>
      </c>
      <c r="E121" s="40" t="s">
        <v>839</v>
      </c>
      <c r="F121" s="40" t="s">
        <v>840</v>
      </c>
      <c r="G121" s="40">
        <v>10</v>
      </c>
      <c r="H121" s="41">
        <v>40513.40347222222</v>
      </c>
      <c r="I121" s="40">
        <v>1.65</v>
      </c>
      <c r="J121" s="40">
        <v>15311</v>
      </c>
      <c r="K121" s="40" t="s">
        <v>71</v>
      </c>
      <c r="L121" s="42">
        <v>16.5</v>
      </c>
      <c r="M121" s="40" t="s">
        <v>721</v>
      </c>
      <c r="N121" s="40">
        <v>2010</v>
      </c>
      <c r="O121" s="40" t="s">
        <v>83</v>
      </c>
      <c r="P121" s="40" t="s">
        <v>126</v>
      </c>
      <c r="Q121" s="40" t="s">
        <v>624</v>
      </c>
      <c r="R121" s="40">
        <v>9</v>
      </c>
      <c r="S121" s="40" t="b">
        <v>0</v>
      </c>
      <c r="T121" s="40" t="b">
        <v>1</v>
      </c>
      <c r="U121" s="42">
        <f t="shared" si="1"/>
        <v>16.5</v>
      </c>
      <c r="V121" s="42">
        <v>0</v>
      </c>
      <c r="W121" s="42">
        <v>16.5</v>
      </c>
    </row>
    <row r="122" spans="4:23" x14ac:dyDescent="0.15">
      <c r="D122" s="43" t="s">
        <v>822</v>
      </c>
      <c r="E122" s="43" t="s">
        <v>841</v>
      </c>
      <c r="F122" s="43" t="s">
        <v>842</v>
      </c>
      <c r="G122" s="43">
        <v>3</v>
      </c>
      <c r="H122" s="44">
        <v>40513.40347222222</v>
      </c>
      <c r="I122" s="43">
        <v>1.69</v>
      </c>
      <c r="J122" s="43">
        <v>15311</v>
      </c>
      <c r="K122" s="43" t="s">
        <v>71</v>
      </c>
      <c r="L122" s="45">
        <v>5.07</v>
      </c>
      <c r="M122" s="43" t="s">
        <v>721</v>
      </c>
      <c r="N122" s="43">
        <v>2010</v>
      </c>
      <c r="O122" s="43" t="s">
        <v>83</v>
      </c>
      <c r="P122" s="43" t="s">
        <v>126</v>
      </c>
      <c r="Q122" s="43" t="s">
        <v>624</v>
      </c>
      <c r="R122" s="43">
        <v>9</v>
      </c>
      <c r="S122" s="43" t="b">
        <v>0</v>
      </c>
      <c r="T122" s="43" t="b">
        <v>1</v>
      </c>
      <c r="U122" s="45">
        <f t="shared" si="1"/>
        <v>5.07</v>
      </c>
      <c r="V122" s="45">
        <v>0</v>
      </c>
      <c r="W122" s="45">
        <v>5.07</v>
      </c>
    </row>
    <row r="123" spans="4:23" x14ac:dyDescent="0.15">
      <c r="D123" s="40" t="s">
        <v>822</v>
      </c>
      <c r="E123" s="40" t="s">
        <v>325</v>
      </c>
      <c r="F123" s="40" t="s">
        <v>326</v>
      </c>
      <c r="G123" s="40">
        <v>1</v>
      </c>
      <c r="H123" s="41">
        <v>40513.40347222222</v>
      </c>
      <c r="I123" s="40">
        <v>1.95</v>
      </c>
      <c r="J123" s="40">
        <v>15311</v>
      </c>
      <c r="K123" s="40" t="s">
        <v>71</v>
      </c>
      <c r="L123" s="42">
        <v>1.95</v>
      </c>
      <c r="M123" s="40" t="s">
        <v>721</v>
      </c>
      <c r="N123" s="40">
        <v>2010</v>
      </c>
      <c r="O123" s="40" t="s">
        <v>83</v>
      </c>
      <c r="P123" s="40" t="s">
        <v>126</v>
      </c>
      <c r="Q123" s="40" t="s">
        <v>624</v>
      </c>
      <c r="R123" s="40">
        <v>9</v>
      </c>
      <c r="S123" s="40" t="b">
        <v>0</v>
      </c>
      <c r="T123" s="40" t="b">
        <v>1</v>
      </c>
      <c r="U123" s="42">
        <f t="shared" si="1"/>
        <v>1.95</v>
      </c>
      <c r="V123" s="42">
        <v>0</v>
      </c>
      <c r="W123" s="42">
        <v>1.95</v>
      </c>
    </row>
    <row r="124" spans="4:23" x14ac:dyDescent="0.15">
      <c r="D124" s="43" t="s">
        <v>822</v>
      </c>
      <c r="E124" s="43" t="s">
        <v>247</v>
      </c>
      <c r="F124" s="43" t="s">
        <v>248</v>
      </c>
      <c r="G124" s="43">
        <v>2</v>
      </c>
      <c r="H124" s="44">
        <v>40513.40347222222</v>
      </c>
      <c r="I124" s="43">
        <v>2.1</v>
      </c>
      <c r="J124" s="43">
        <v>15311</v>
      </c>
      <c r="K124" s="43" t="s">
        <v>71</v>
      </c>
      <c r="L124" s="45">
        <v>4.2</v>
      </c>
      <c r="M124" s="43" t="s">
        <v>721</v>
      </c>
      <c r="N124" s="43">
        <v>2010</v>
      </c>
      <c r="O124" s="43" t="s">
        <v>83</v>
      </c>
      <c r="P124" s="43" t="s">
        <v>126</v>
      </c>
      <c r="Q124" s="43" t="s">
        <v>624</v>
      </c>
      <c r="R124" s="43">
        <v>9</v>
      </c>
      <c r="S124" s="43" t="b">
        <v>0</v>
      </c>
      <c r="T124" s="43" t="b">
        <v>1</v>
      </c>
      <c r="U124" s="45">
        <f t="shared" si="1"/>
        <v>4.2</v>
      </c>
      <c r="V124" s="45">
        <v>0</v>
      </c>
      <c r="W124" s="45">
        <v>4.2</v>
      </c>
    </row>
    <row r="125" spans="4:23" x14ac:dyDescent="0.15">
      <c r="D125" s="40" t="s">
        <v>822</v>
      </c>
      <c r="E125" s="40" t="s">
        <v>843</v>
      </c>
      <c r="F125" s="40" t="s">
        <v>844</v>
      </c>
      <c r="G125" s="40">
        <v>1</v>
      </c>
      <c r="H125" s="41">
        <v>40513.40347222222</v>
      </c>
      <c r="I125" s="40">
        <v>2.95</v>
      </c>
      <c r="J125" s="40">
        <v>15311</v>
      </c>
      <c r="K125" s="40" t="s">
        <v>71</v>
      </c>
      <c r="L125" s="42">
        <v>2.95</v>
      </c>
      <c r="M125" s="40" t="s">
        <v>721</v>
      </c>
      <c r="N125" s="40">
        <v>2010</v>
      </c>
      <c r="O125" s="40" t="s">
        <v>83</v>
      </c>
      <c r="P125" s="40" t="s">
        <v>126</v>
      </c>
      <c r="Q125" s="40" t="s">
        <v>624</v>
      </c>
      <c r="R125" s="40">
        <v>9</v>
      </c>
      <c r="S125" s="40" t="b">
        <v>0</v>
      </c>
      <c r="T125" s="40" t="b">
        <v>1</v>
      </c>
      <c r="U125" s="42">
        <f t="shared" si="1"/>
        <v>2.95</v>
      </c>
      <c r="V125" s="42">
        <v>0</v>
      </c>
      <c r="W125" s="42">
        <v>2.95</v>
      </c>
    </row>
    <row r="126" spans="4:23" x14ac:dyDescent="0.15">
      <c r="D126" s="43" t="s">
        <v>822</v>
      </c>
      <c r="E126" s="43" t="s">
        <v>845</v>
      </c>
      <c r="F126" s="43" t="s">
        <v>846</v>
      </c>
      <c r="G126" s="43">
        <v>1</v>
      </c>
      <c r="H126" s="44">
        <v>40513.40347222222</v>
      </c>
      <c r="I126" s="43">
        <v>2.95</v>
      </c>
      <c r="J126" s="43">
        <v>15311</v>
      </c>
      <c r="K126" s="43" t="s">
        <v>71</v>
      </c>
      <c r="L126" s="45">
        <v>2.95</v>
      </c>
      <c r="M126" s="43" t="s">
        <v>721</v>
      </c>
      <c r="N126" s="43">
        <v>2010</v>
      </c>
      <c r="O126" s="43" t="s">
        <v>83</v>
      </c>
      <c r="P126" s="43" t="s">
        <v>126</v>
      </c>
      <c r="Q126" s="43" t="s">
        <v>624</v>
      </c>
      <c r="R126" s="43">
        <v>9</v>
      </c>
      <c r="S126" s="43" t="b">
        <v>0</v>
      </c>
      <c r="T126" s="43" t="b">
        <v>1</v>
      </c>
      <c r="U126" s="45">
        <f t="shared" si="1"/>
        <v>2.95</v>
      </c>
      <c r="V126" s="45">
        <v>0</v>
      </c>
      <c r="W126" s="45">
        <v>2.95</v>
      </c>
    </row>
    <row r="127" spans="4:23" x14ac:dyDescent="0.15">
      <c r="D127" s="40" t="s">
        <v>822</v>
      </c>
      <c r="E127" s="40" t="s">
        <v>175</v>
      </c>
      <c r="F127" s="40" t="s">
        <v>176</v>
      </c>
      <c r="G127" s="40">
        <v>4</v>
      </c>
      <c r="H127" s="41">
        <v>40513.40347222222</v>
      </c>
      <c r="I127" s="40">
        <v>2.95</v>
      </c>
      <c r="J127" s="40">
        <v>15311</v>
      </c>
      <c r="K127" s="40" t="s">
        <v>71</v>
      </c>
      <c r="L127" s="42">
        <v>11.8</v>
      </c>
      <c r="M127" s="40" t="s">
        <v>721</v>
      </c>
      <c r="N127" s="40">
        <v>2010</v>
      </c>
      <c r="O127" s="40" t="s">
        <v>83</v>
      </c>
      <c r="P127" s="40" t="s">
        <v>126</v>
      </c>
      <c r="Q127" s="40" t="s">
        <v>624</v>
      </c>
      <c r="R127" s="40">
        <v>9</v>
      </c>
      <c r="S127" s="40" t="b">
        <v>0</v>
      </c>
      <c r="T127" s="40" t="b">
        <v>1</v>
      </c>
      <c r="U127" s="42">
        <f t="shared" si="1"/>
        <v>11.8</v>
      </c>
      <c r="V127" s="42">
        <v>0</v>
      </c>
      <c r="W127" s="42">
        <v>11.8</v>
      </c>
    </row>
    <row r="128" spans="4:23" x14ac:dyDescent="0.15">
      <c r="D128" s="43" t="s">
        <v>822</v>
      </c>
      <c r="E128" s="43" t="s">
        <v>429</v>
      </c>
      <c r="F128" s="43" t="s">
        <v>430</v>
      </c>
      <c r="G128" s="43">
        <v>1</v>
      </c>
      <c r="H128" s="44">
        <v>40513.40347222222</v>
      </c>
      <c r="I128" s="43">
        <v>2.95</v>
      </c>
      <c r="J128" s="43">
        <v>15311</v>
      </c>
      <c r="K128" s="43" t="s">
        <v>71</v>
      </c>
      <c r="L128" s="45">
        <v>2.95</v>
      </c>
      <c r="M128" s="43" t="s">
        <v>721</v>
      </c>
      <c r="N128" s="43">
        <v>2010</v>
      </c>
      <c r="O128" s="43" t="s">
        <v>83</v>
      </c>
      <c r="P128" s="43" t="s">
        <v>126</v>
      </c>
      <c r="Q128" s="43" t="s">
        <v>624</v>
      </c>
      <c r="R128" s="43">
        <v>9</v>
      </c>
      <c r="S128" s="43" t="b">
        <v>0</v>
      </c>
      <c r="T128" s="43" t="b">
        <v>1</v>
      </c>
      <c r="U128" s="45">
        <f t="shared" si="1"/>
        <v>2.95</v>
      </c>
      <c r="V128" s="45">
        <v>0</v>
      </c>
      <c r="W128" s="45">
        <v>2.95</v>
      </c>
    </row>
    <row r="129" spans="4:23" x14ac:dyDescent="0.15">
      <c r="D129" s="40" t="s">
        <v>822</v>
      </c>
      <c r="E129" s="40" t="s">
        <v>847</v>
      </c>
      <c r="F129" s="40" t="s">
        <v>848</v>
      </c>
      <c r="G129" s="40">
        <v>6</v>
      </c>
      <c r="H129" s="41">
        <v>40513.40347222222</v>
      </c>
      <c r="I129" s="40">
        <v>0.85</v>
      </c>
      <c r="J129" s="40">
        <v>15311</v>
      </c>
      <c r="K129" s="40" t="s">
        <v>71</v>
      </c>
      <c r="L129" s="42">
        <v>5.0999999999999996</v>
      </c>
      <c r="M129" s="40" t="s">
        <v>721</v>
      </c>
      <c r="N129" s="40">
        <v>2010</v>
      </c>
      <c r="O129" s="40" t="s">
        <v>83</v>
      </c>
      <c r="P129" s="40" t="s">
        <v>126</v>
      </c>
      <c r="Q129" s="40" t="s">
        <v>624</v>
      </c>
      <c r="R129" s="40">
        <v>9</v>
      </c>
      <c r="S129" s="40" t="b">
        <v>0</v>
      </c>
      <c r="T129" s="40" t="b">
        <v>1</v>
      </c>
      <c r="U129" s="42">
        <f t="shared" si="1"/>
        <v>5.0999999999999996</v>
      </c>
      <c r="V129" s="42">
        <v>0</v>
      </c>
      <c r="W129" s="42">
        <v>5.0999999999999996</v>
      </c>
    </row>
    <row r="130" spans="4:23" x14ac:dyDescent="0.15">
      <c r="D130" s="43" t="s">
        <v>822</v>
      </c>
      <c r="E130" s="43" t="s">
        <v>833</v>
      </c>
      <c r="F130" s="43" t="s">
        <v>834</v>
      </c>
      <c r="G130" s="43">
        <v>3</v>
      </c>
      <c r="H130" s="44">
        <v>40513.40347222222</v>
      </c>
      <c r="I130" s="43">
        <v>1.25</v>
      </c>
      <c r="J130" s="43">
        <v>15311</v>
      </c>
      <c r="K130" s="43" t="s">
        <v>71</v>
      </c>
      <c r="L130" s="45">
        <v>3.75</v>
      </c>
      <c r="M130" s="43" t="s">
        <v>721</v>
      </c>
      <c r="N130" s="43">
        <v>2010</v>
      </c>
      <c r="O130" s="43" t="s">
        <v>83</v>
      </c>
      <c r="P130" s="43" t="s">
        <v>126</v>
      </c>
      <c r="Q130" s="43" t="s">
        <v>624</v>
      </c>
      <c r="R130" s="43">
        <v>9</v>
      </c>
      <c r="S130" s="43" t="b">
        <v>0</v>
      </c>
      <c r="T130" s="43" t="b">
        <v>1</v>
      </c>
      <c r="U130" s="45">
        <f t="shared" si="1"/>
        <v>3.75</v>
      </c>
      <c r="V130" s="45">
        <v>0</v>
      </c>
      <c r="W130" s="45">
        <v>3.75</v>
      </c>
    </row>
    <row r="131" spans="4:23" x14ac:dyDescent="0.15">
      <c r="D131" s="40" t="s">
        <v>822</v>
      </c>
      <c r="E131" s="40" t="s">
        <v>849</v>
      </c>
      <c r="F131" s="40" t="s">
        <v>850</v>
      </c>
      <c r="G131" s="40">
        <v>2</v>
      </c>
      <c r="H131" s="41">
        <v>40513.40347222222</v>
      </c>
      <c r="I131" s="40">
        <v>2.5499999999999998</v>
      </c>
      <c r="J131" s="40">
        <v>15311</v>
      </c>
      <c r="K131" s="40" t="s">
        <v>71</v>
      </c>
      <c r="L131" s="42">
        <v>5.0999999999999996</v>
      </c>
      <c r="M131" s="40" t="s">
        <v>721</v>
      </c>
      <c r="N131" s="40">
        <v>2010</v>
      </c>
      <c r="O131" s="40" t="s">
        <v>83</v>
      </c>
      <c r="P131" s="40" t="s">
        <v>126</v>
      </c>
      <c r="Q131" s="40" t="s">
        <v>624</v>
      </c>
      <c r="R131" s="40">
        <v>9</v>
      </c>
      <c r="S131" s="40" t="b">
        <v>0</v>
      </c>
      <c r="T131" s="40" t="b">
        <v>1</v>
      </c>
      <c r="U131" s="42">
        <f t="shared" si="1"/>
        <v>5.0999999999999996</v>
      </c>
      <c r="V131" s="42">
        <v>0</v>
      </c>
      <c r="W131" s="42">
        <v>5.0999999999999996</v>
      </c>
    </row>
    <row r="132" spans="4:23" x14ac:dyDescent="0.15">
      <c r="D132" s="43" t="s">
        <v>822</v>
      </c>
      <c r="E132" s="43" t="s">
        <v>851</v>
      </c>
      <c r="F132" s="43" t="s">
        <v>852</v>
      </c>
      <c r="G132" s="43">
        <v>1</v>
      </c>
      <c r="H132" s="44">
        <v>40513.40347222222</v>
      </c>
      <c r="I132" s="43">
        <v>0.85</v>
      </c>
      <c r="J132" s="43">
        <v>15311</v>
      </c>
      <c r="K132" s="43" t="s">
        <v>71</v>
      </c>
      <c r="L132" s="45">
        <v>0.85</v>
      </c>
      <c r="M132" s="43" t="s">
        <v>721</v>
      </c>
      <c r="N132" s="43">
        <v>2010</v>
      </c>
      <c r="O132" s="43" t="s">
        <v>83</v>
      </c>
      <c r="P132" s="43" t="s">
        <v>126</v>
      </c>
      <c r="Q132" s="43" t="s">
        <v>624</v>
      </c>
      <c r="R132" s="43">
        <v>9</v>
      </c>
      <c r="S132" s="43" t="b">
        <v>0</v>
      </c>
      <c r="T132" s="43" t="b">
        <v>1</v>
      </c>
      <c r="U132" s="45">
        <f t="shared" si="1"/>
        <v>0.85</v>
      </c>
      <c r="V132" s="45">
        <v>0</v>
      </c>
      <c r="W132" s="45">
        <v>0.85</v>
      </c>
    </row>
    <row r="133" spans="4:23" x14ac:dyDescent="0.15">
      <c r="D133" s="40" t="s">
        <v>822</v>
      </c>
      <c r="E133" s="40" t="s">
        <v>853</v>
      </c>
      <c r="F133" s="40" t="s">
        <v>854</v>
      </c>
      <c r="G133" s="40">
        <v>1</v>
      </c>
      <c r="H133" s="41">
        <v>40513.40347222222</v>
      </c>
      <c r="I133" s="40">
        <v>0.85</v>
      </c>
      <c r="J133" s="40">
        <v>15311</v>
      </c>
      <c r="K133" s="40" t="s">
        <v>71</v>
      </c>
      <c r="L133" s="42">
        <v>0.85</v>
      </c>
      <c r="M133" s="40" t="s">
        <v>721</v>
      </c>
      <c r="N133" s="40">
        <v>2010</v>
      </c>
      <c r="O133" s="40" t="s">
        <v>83</v>
      </c>
      <c r="P133" s="40" t="s">
        <v>126</v>
      </c>
      <c r="Q133" s="40" t="s">
        <v>624</v>
      </c>
      <c r="R133" s="40">
        <v>9</v>
      </c>
      <c r="S133" s="40" t="b">
        <v>0</v>
      </c>
      <c r="T133" s="40" t="b">
        <v>1</v>
      </c>
      <c r="U133" s="42">
        <f t="shared" ref="U133:U196" si="2">IF(T133,L133,0)</f>
        <v>0.85</v>
      </c>
      <c r="V133" s="42">
        <v>0</v>
      </c>
      <c r="W133" s="42">
        <v>0.85</v>
      </c>
    </row>
    <row r="134" spans="4:23" x14ac:dyDescent="0.15">
      <c r="D134" s="43" t="s">
        <v>822</v>
      </c>
      <c r="E134" s="43" t="s">
        <v>855</v>
      </c>
      <c r="F134" s="43" t="s">
        <v>856</v>
      </c>
      <c r="G134" s="43">
        <v>1</v>
      </c>
      <c r="H134" s="44">
        <v>40513.40347222222</v>
      </c>
      <c r="I134" s="43">
        <v>1.45</v>
      </c>
      <c r="J134" s="43">
        <v>15311</v>
      </c>
      <c r="K134" s="43" t="s">
        <v>71</v>
      </c>
      <c r="L134" s="45">
        <v>1.45</v>
      </c>
      <c r="M134" s="43" t="s">
        <v>721</v>
      </c>
      <c r="N134" s="43">
        <v>2010</v>
      </c>
      <c r="O134" s="43" t="s">
        <v>83</v>
      </c>
      <c r="P134" s="43" t="s">
        <v>126</v>
      </c>
      <c r="Q134" s="43" t="s">
        <v>624</v>
      </c>
      <c r="R134" s="43">
        <v>9</v>
      </c>
      <c r="S134" s="43" t="b">
        <v>0</v>
      </c>
      <c r="T134" s="43" t="b">
        <v>1</v>
      </c>
      <c r="U134" s="45">
        <f t="shared" si="2"/>
        <v>1.45</v>
      </c>
      <c r="V134" s="45">
        <v>0</v>
      </c>
      <c r="W134" s="45">
        <v>1.45</v>
      </c>
    </row>
    <row r="135" spans="4:23" x14ac:dyDescent="0.15">
      <c r="D135" s="40" t="s">
        <v>822</v>
      </c>
      <c r="E135" s="40" t="s">
        <v>857</v>
      </c>
      <c r="F135" s="40" t="s">
        <v>858</v>
      </c>
      <c r="G135" s="40">
        <v>1</v>
      </c>
      <c r="H135" s="41">
        <v>40513.40347222222</v>
      </c>
      <c r="I135" s="40">
        <v>4.95</v>
      </c>
      <c r="J135" s="40">
        <v>15311</v>
      </c>
      <c r="K135" s="40" t="s">
        <v>71</v>
      </c>
      <c r="L135" s="42">
        <v>4.95</v>
      </c>
      <c r="M135" s="40" t="s">
        <v>721</v>
      </c>
      <c r="N135" s="40">
        <v>2010</v>
      </c>
      <c r="O135" s="40" t="s">
        <v>83</v>
      </c>
      <c r="P135" s="40" t="s">
        <v>126</v>
      </c>
      <c r="Q135" s="40" t="s">
        <v>624</v>
      </c>
      <c r="R135" s="40">
        <v>9</v>
      </c>
      <c r="S135" s="40" t="b">
        <v>0</v>
      </c>
      <c r="T135" s="40" t="b">
        <v>1</v>
      </c>
      <c r="U135" s="42">
        <f t="shared" si="2"/>
        <v>4.95</v>
      </c>
      <c r="V135" s="42">
        <v>0</v>
      </c>
      <c r="W135" s="42">
        <v>4.95</v>
      </c>
    </row>
    <row r="136" spans="4:23" x14ac:dyDescent="0.15">
      <c r="D136" s="43" t="s">
        <v>822</v>
      </c>
      <c r="E136" s="43" t="s">
        <v>859</v>
      </c>
      <c r="F136" s="43" t="s">
        <v>860</v>
      </c>
      <c r="G136" s="43">
        <v>2</v>
      </c>
      <c r="H136" s="44">
        <v>40513.40347222222</v>
      </c>
      <c r="I136" s="43">
        <v>2.95</v>
      </c>
      <c r="J136" s="43">
        <v>15311</v>
      </c>
      <c r="K136" s="43" t="s">
        <v>71</v>
      </c>
      <c r="L136" s="45">
        <v>5.9</v>
      </c>
      <c r="M136" s="43" t="s">
        <v>721</v>
      </c>
      <c r="N136" s="43">
        <v>2010</v>
      </c>
      <c r="O136" s="43" t="s">
        <v>83</v>
      </c>
      <c r="P136" s="43" t="s">
        <v>126</v>
      </c>
      <c r="Q136" s="43" t="s">
        <v>624</v>
      </c>
      <c r="R136" s="43">
        <v>9</v>
      </c>
      <c r="S136" s="43" t="b">
        <v>0</v>
      </c>
      <c r="T136" s="43" t="b">
        <v>1</v>
      </c>
      <c r="U136" s="45">
        <f t="shared" si="2"/>
        <v>5.9</v>
      </c>
      <c r="V136" s="45">
        <v>0</v>
      </c>
      <c r="W136" s="45">
        <v>5.9</v>
      </c>
    </row>
    <row r="137" spans="4:23" x14ac:dyDescent="0.15">
      <c r="D137" s="40" t="s">
        <v>822</v>
      </c>
      <c r="E137" s="40" t="s">
        <v>405</v>
      </c>
      <c r="F137" s="40" t="s">
        <v>406</v>
      </c>
      <c r="G137" s="40">
        <v>2</v>
      </c>
      <c r="H137" s="41">
        <v>40513.40347222222</v>
      </c>
      <c r="I137" s="40">
        <v>5.95</v>
      </c>
      <c r="J137" s="40">
        <v>15311</v>
      </c>
      <c r="K137" s="40" t="s">
        <v>71</v>
      </c>
      <c r="L137" s="42">
        <v>11.9</v>
      </c>
      <c r="M137" s="40" t="s">
        <v>721</v>
      </c>
      <c r="N137" s="40">
        <v>2010</v>
      </c>
      <c r="O137" s="40" t="s">
        <v>83</v>
      </c>
      <c r="P137" s="40" t="s">
        <v>126</v>
      </c>
      <c r="Q137" s="40" t="s">
        <v>624</v>
      </c>
      <c r="R137" s="40">
        <v>9</v>
      </c>
      <c r="S137" s="40" t="b">
        <v>0</v>
      </c>
      <c r="T137" s="40" t="b">
        <v>1</v>
      </c>
      <c r="U137" s="42">
        <f t="shared" si="2"/>
        <v>11.9</v>
      </c>
      <c r="V137" s="42">
        <v>0</v>
      </c>
      <c r="W137" s="42">
        <v>11.9</v>
      </c>
    </row>
    <row r="138" spans="4:23" x14ac:dyDescent="0.15">
      <c r="D138" s="43" t="s">
        <v>822</v>
      </c>
      <c r="E138" s="43" t="s">
        <v>303</v>
      </c>
      <c r="F138" s="43" t="s">
        <v>304</v>
      </c>
      <c r="G138" s="43">
        <v>2</v>
      </c>
      <c r="H138" s="44">
        <v>40513.40347222222</v>
      </c>
      <c r="I138" s="43">
        <v>5.95</v>
      </c>
      <c r="J138" s="43">
        <v>15311</v>
      </c>
      <c r="K138" s="43" t="s">
        <v>71</v>
      </c>
      <c r="L138" s="45">
        <v>11.9</v>
      </c>
      <c r="M138" s="43" t="s">
        <v>721</v>
      </c>
      <c r="N138" s="43">
        <v>2010</v>
      </c>
      <c r="O138" s="43" t="s">
        <v>83</v>
      </c>
      <c r="P138" s="43" t="s">
        <v>126</v>
      </c>
      <c r="Q138" s="43" t="s">
        <v>624</v>
      </c>
      <c r="R138" s="43">
        <v>9</v>
      </c>
      <c r="S138" s="43" t="b">
        <v>0</v>
      </c>
      <c r="T138" s="43" t="b">
        <v>1</v>
      </c>
      <c r="U138" s="45">
        <f t="shared" si="2"/>
        <v>11.9</v>
      </c>
      <c r="V138" s="45">
        <v>0</v>
      </c>
      <c r="W138" s="45">
        <v>11.9</v>
      </c>
    </row>
    <row r="139" spans="4:23" x14ac:dyDescent="0.15">
      <c r="D139" s="40" t="s">
        <v>822</v>
      </c>
      <c r="E139" s="40" t="s">
        <v>861</v>
      </c>
      <c r="F139" s="40" t="s">
        <v>862</v>
      </c>
      <c r="G139" s="40">
        <v>4</v>
      </c>
      <c r="H139" s="41">
        <v>40513.40347222222</v>
      </c>
      <c r="I139" s="40">
        <v>1.45</v>
      </c>
      <c r="J139" s="40">
        <v>15311</v>
      </c>
      <c r="K139" s="40" t="s">
        <v>71</v>
      </c>
      <c r="L139" s="42">
        <v>5.8</v>
      </c>
      <c r="M139" s="40" t="s">
        <v>721</v>
      </c>
      <c r="N139" s="40">
        <v>2010</v>
      </c>
      <c r="O139" s="40" t="s">
        <v>83</v>
      </c>
      <c r="P139" s="40" t="s">
        <v>126</v>
      </c>
      <c r="Q139" s="40" t="s">
        <v>624</v>
      </c>
      <c r="R139" s="40">
        <v>9</v>
      </c>
      <c r="S139" s="40" t="b">
        <v>0</v>
      </c>
      <c r="T139" s="40" t="b">
        <v>1</v>
      </c>
      <c r="U139" s="42">
        <f t="shared" si="2"/>
        <v>5.8</v>
      </c>
      <c r="V139" s="42">
        <v>0</v>
      </c>
      <c r="W139" s="42">
        <v>5.8</v>
      </c>
    </row>
    <row r="140" spans="4:23" x14ac:dyDescent="0.15">
      <c r="D140" s="43" t="s">
        <v>822</v>
      </c>
      <c r="E140" s="43" t="s">
        <v>863</v>
      </c>
      <c r="F140" s="43" t="s">
        <v>864</v>
      </c>
      <c r="G140" s="43">
        <v>1</v>
      </c>
      <c r="H140" s="44">
        <v>40513.40347222222</v>
      </c>
      <c r="I140" s="43">
        <v>2.95</v>
      </c>
      <c r="J140" s="43">
        <v>15311</v>
      </c>
      <c r="K140" s="43" t="s">
        <v>71</v>
      </c>
      <c r="L140" s="45">
        <v>2.95</v>
      </c>
      <c r="M140" s="43" t="s">
        <v>721</v>
      </c>
      <c r="N140" s="43">
        <v>2010</v>
      </c>
      <c r="O140" s="43" t="s">
        <v>83</v>
      </c>
      <c r="P140" s="43" t="s">
        <v>126</v>
      </c>
      <c r="Q140" s="43" t="s">
        <v>624</v>
      </c>
      <c r="R140" s="43">
        <v>9</v>
      </c>
      <c r="S140" s="43" t="b">
        <v>0</v>
      </c>
      <c r="T140" s="43" t="b">
        <v>1</v>
      </c>
      <c r="U140" s="45">
        <f t="shared" si="2"/>
        <v>2.95</v>
      </c>
      <c r="V140" s="45">
        <v>0</v>
      </c>
      <c r="W140" s="45">
        <v>2.95</v>
      </c>
    </row>
    <row r="141" spans="4:23" x14ac:dyDescent="0.15">
      <c r="D141" s="40" t="s">
        <v>822</v>
      </c>
      <c r="E141" s="40" t="s">
        <v>865</v>
      </c>
      <c r="F141" s="40" t="s">
        <v>866</v>
      </c>
      <c r="G141" s="40">
        <v>1</v>
      </c>
      <c r="H141" s="41">
        <v>40513.40347222222</v>
      </c>
      <c r="I141" s="40">
        <v>1.95</v>
      </c>
      <c r="J141" s="40">
        <v>15311</v>
      </c>
      <c r="K141" s="40" t="s">
        <v>71</v>
      </c>
      <c r="L141" s="42">
        <v>1.95</v>
      </c>
      <c r="M141" s="40" t="s">
        <v>721</v>
      </c>
      <c r="N141" s="40">
        <v>2010</v>
      </c>
      <c r="O141" s="40" t="s">
        <v>83</v>
      </c>
      <c r="P141" s="40" t="s">
        <v>126</v>
      </c>
      <c r="Q141" s="40" t="s">
        <v>624</v>
      </c>
      <c r="R141" s="40">
        <v>9</v>
      </c>
      <c r="S141" s="40" t="b">
        <v>0</v>
      </c>
      <c r="T141" s="40" t="b">
        <v>1</v>
      </c>
      <c r="U141" s="42">
        <f t="shared" si="2"/>
        <v>1.95</v>
      </c>
      <c r="V141" s="42">
        <v>0</v>
      </c>
      <c r="W141" s="42">
        <v>1.95</v>
      </c>
    </row>
    <row r="142" spans="4:23" x14ac:dyDescent="0.15">
      <c r="D142" s="43" t="s">
        <v>822</v>
      </c>
      <c r="E142" s="43" t="s">
        <v>273</v>
      </c>
      <c r="F142" s="43" t="s">
        <v>274</v>
      </c>
      <c r="G142" s="43">
        <v>2</v>
      </c>
      <c r="H142" s="44">
        <v>40513.40347222222</v>
      </c>
      <c r="I142" s="43">
        <v>1.65</v>
      </c>
      <c r="J142" s="43">
        <v>15311</v>
      </c>
      <c r="K142" s="43" t="s">
        <v>71</v>
      </c>
      <c r="L142" s="45">
        <v>3.3</v>
      </c>
      <c r="M142" s="43" t="s">
        <v>721</v>
      </c>
      <c r="N142" s="43">
        <v>2010</v>
      </c>
      <c r="O142" s="43" t="s">
        <v>83</v>
      </c>
      <c r="P142" s="43" t="s">
        <v>126</v>
      </c>
      <c r="Q142" s="43" t="s">
        <v>624</v>
      </c>
      <c r="R142" s="43">
        <v>9</v>
      </c>
      <c r="S142" s="43" t="b">
        <v>0</v>
      </c>
      <c r="T142" s="43" t="b">
        <v>1</v>
      </c>
      <c r="U142" s="45">
        <f t="shared" si="2"/>
        <v>3.3</v>
      </c>
      <c r="V142" s="45">
        <v>0</v>
      </c>
      <c r="W142" s="45">
        <v>3.3</v>
      </c>
    </row>
    <row r="143" spans="4:23" x14ac:dyDescent="0.15">
      <c r="D143" s="40" t="s">
        <v>822</v>
      </c>
      <c r="E143" s="40" t="s">
        <v>867</v>
      </c>
      <c r="F143" s="40" t="s">
        <v>868</v>
      </c>
      <c r="G143" s="40">
        <v>3</v>
      </c>
      <c r="H143" s="41">
        <v>40513.40347222222</v>
      </c>
      <c r="I143" s="40">
        <v>3.95</v>
      </c>
      <c r="J143" s="40">
        <v>15311</v>
      </c>
      <c r="K143" s="40" t="s">
        <v>71</v>
      </c>
      <c r="L143" s="42">
        <v>11.85</v>
      </c>
      <c r="M143" s="40" t="s">
        <v>721</v>
      </c>
      <c r="N143" s="40">
        <v>2010</v>
      </c>
      <c r="O143" s="40" t="s">
        <v>83</v>
      </c>
      <c r="P143" s="40" t="s">
        <v>126</v>
      </c>
      <c r="Q143" s="40" t="s">
        <v>624</v>
      </c>
      <c r="R143" s="40">
        <v>9</v>
      </c>
      <c r="S143" s="40" t="b">
        <v>0</v>
      </c>
      <c r="T143" s="40" t="b">
        <v>1</v>
      </c>
      <c r="U143" s="42">
        <f t="shared" si="2"/>
        <v>11.85</v>
      </c>
      <c r="V143" s="42">
        <v>0</v>
      </c>
      <c r="W143" s="42">
        <v>11.85</v>
      </c>
    </row>
    <row r="144" spans="4:23" x14ac:dyDescent="0.15">
      <c r="D144" s="43" t="s">
        <v>822</v>
      </c>
      <c r="E144" s="43" t="s">
        <v>869</v>
      </c>
      <c r="F144" s="43" t="s">
        <v>870</v>
      </c>
      <c r="G144" s="43">
        <v>36</v>
      </c>
      <c r="H144" s="44">
        <v>40513.40347222222</v>
      </c>
      <c r="I144" s="43">
        <v>1.06</v>
      </c>
      <c r="J144" s="43">
        <v>15311</v>
      </c>
      <c r="K144" s="43" t="s">
        <v>71</v>
      </c>
      <c r="L144" s="45">
        <v>38.159999999999997</v>
      </c>
      <c r="M144" s="43" t="s">
        <v>721</v>
      </c>
      <c r="N144" s="43">
        <v>2010</v>
      </c>
      <c r="O144" s="43" t="s">
        <v>83</v>
      </c>
      <c r="P144" s="43" t="s">
        <v>126</v>
      </c>
      <c r="Q144" s="43" t="s">
        <v>624</v>
      </c>
      <c r="R144" s="43">
        <v>9</v>
      </c>
      <c r="S144" s="43" t="b">
        <v>0</v>
      </c>
      <c r="T144" s="43" t="b">
        <v>1</v>
      </c>
      <c r="U144" s="45">
        <f t="shared" si="2"/>
        <v>38.159999999999997</v>
      </c>
      <c r="V144" s="45">
        <v>0</v>
      </c>
      <c r="W144" s="45">
        <v>38.159999999999997</v>
      </c>
    </row>
    <row r="145" spans="4:23" x14ac:dyDescent="0.15">
      <c r="D145" s="40" t="s">
        <v>822</v>
      </c>
      <c r="E145" s="40" t="s">
        <v>319</v>
      </c>
      <c r="F145" s="40" t="s">
        <v>320</v>
      </c>
      <c r="G145" s="40">
        <v>10</v>
      </c>
      <c r="H145" s="41">
        <v>40513.40347222222</v>
      </c>
      <c r="I145" s="40">
        <v>6.75</v>
      </c>
      <c r="J145" s="40">
        <v>15311</v>
      </c>
      <c r="K145" s="40" t="s">
        <v>71</v>
      </c>
      <c r="L145" s="42">
        <v>67.5</v>
      </c>
      <c r="M145" s="40" t="s">
        <v>721</v>
      </c>
      <c r="N145" s="40">
        <v>2010</v>
      </c>
      <c r="O145" s="40" t="s">
        <v>83</v>
      </c>
      <c r="P145" s="40" t="s">
        <v>126</v>
      </c>
      <c r="Q145" s="40" t="s">
        <v>624</v>
      </c>
      <c r="R145" s="40">
        <v>9</v>
      </c>
      <c r="S145" s="40" t="b">
        <v>0</v>
      </c>
      <c r="T145" s="40" t="b">
        <v>1</v>
      </c>
      <c r="U145" s="42">
        <f t="shared" si="2"/>
        <v>67.5</v>
      </c>
      <c r="V145" s="42">
        <v>0</v>
      </c>
      <c r="W145" s="42">
        <v>67.5</v>
      </c>
    </row>
    <row r="146" spans="4:23" x14ac:dyDescent="0.15">
      <c r="D146" s="43" t="s">
        <v>871</v>
      </c>
      <c r="E146" s="43" t="s">
        <v>872</v>
      </c>
      <c r="F146" s="43" t="s">
        <v>873</v>
      </c>
      <c r="G146" s="43">
        <v>-1</v>
      </c>
      <c r="H146" s="44">
        <v>40513.40347222222</v>
      </c>
      <c r="I146" s="43">
        <v>27.5</v>
      </c>
      <c r="J146" s="43">
        <v>14527</v>
      </c>
      <c r="K146" s="43" t="s">
        <v>71</v>
      </c>
      <c r="L146" s="45">
        <v>-27.5</v>
      </c>
      <c r="M146" s="43" t="s">
        <v>602</v>
      </c>
      <c r="N146" s="43">
        <v>2010</v>
      </c>
      <c r="O146" s="43" t="s">
        <v>83</v>
      </c>
      <c r="P146" s="43" t="s">
        <v>126</v>
      </c>
      <c r="Q146" s="43" t="s">
        <v>624</v>
      </c>
      <c r="R146" s="43">
        <v>9</v>
      </c>
      <c r="S146" s="43" t="b">
        <v>1</v>
      </c>
      <c r="T146" s="43" t="b">
        <v>0</v>
      </c>
      <c r="U146" s="45">
        <f t="shared" si="2"/>
        <v>0</v>
      </c>
      <c r="V146" s="45">
        <v>27.5</v>
      </c>
      <c r="W146" s="45">
        <v>-27.5</v>
      </c>
    </row>
    <row r="147" spans="4:23" x14ac:dyDescent="0.15">
      <c r="D147" s="40" t="s">
        <v>874</v>
      </c>
      <c r="E147" s="40" t="s">
        <v>763</v>
      </c>
      <c r="F147" s="40" t="s">
        <v>764</v>
      </c>
      <c r="G147" s="40">
        <v>12</v>
      </c>
      <c r="H147" s="41">
        <v>40513.40625</v>
      </c>
      <c r="I147" s="40">
        <v>0.85</v>
      </c>
      <c r="J147" s="40">
        <v>16098</v>
      </c>
      <c r="K147" s="40" t="s">
        <v>71</v>
      </c>
      <c r="L147" s="42">
        <v>10.199999999999999</v>
      </c>
      <c r="M147" s="40" t="s">
        <v>721</v>
      </c>
      <c r="N147" s="40">
        <v>2010</v>
      </c>
      <c r="O147" s="40" t="s">
        <v>83</v>
      </c>
      <c r="P147" s="40" t="s">
        <v>126</v>
      </c>
      <c r="Q147" s="40" t="s">
        <v>624</v>
      </c>
      <c r="R147" s="40">
        <v>9</v>
      </c>
      <c r="S147" s="40" t="b">
        <v>0</v>
      </c>
      <c r="T147" s="40" t="b">
        <v>1</v>
      </c>
      <c r="U147" s="42">
        <f t="shared" si="2"/>
        <v>10.199999999999999</v>
      </c>
      <c r="V147" s="42">
        <v>0</v>
      </c>
      <c r="W147" s="42">
        <v>10.199999999999999</v>
      </c>
    </row>
    <row r="148" spans="4:23" x14ac:dyDescent="0.15">
      <c r="D148" s="43" t="s">
        <v>874</v>
      </c>
      <c r="E148" s="43" t="s">
        <v>875</v>
      </c>
      <c r="F148" s="43" t="s">
        <v>876</v>
      </c>
      <c r="G148" s="43">
        <v>8</v>
      </c>
      <c r="H148" s="44">
        <v>40513.40625</v>
      </c>
      <c r="I148" s="43">
        <v>3.75</v>
      </c>
      <c r="J148" s="43">
        <v>16098</v>
      </c>
      <c r="K148" s="43" t="s">
        <v>71</v>
      </c>
      <c r="L148" s="45">
        <v>30</v>
      </c>
      <c r="M148" s="43" t="s">
        <v>721</v>
      </c>
      <c r="N148" s="43">
        <v>2010</v>
      </c>
      <c r="O148" s="43" t="s">
        <v>83</v>
      </c>
      <c r="P148" s="43" t="s">
        <v>126</v>
      </c>
      <c r="Q148" s="43" t="s">
        <v>624</v>
      </c>
      <c r="R148" s="43">
        <v>9</v>
      </c>
      <c r="S148" s="43" t="b">
        <v>0</v>
      </c>
      <c r="T148" s="43" t="b">
        <v>1</v>
      </c>
      <c r="U148" s="45">
        <f t="shared" si="2"/>
        <v>30</v>
      </c>
      <c r="V148" s="45">
        <v>0</v>
      </c>
      <c r="W148" s="45">
        <v>30</v>
      </c>
    </row>
    <row r="149" spans="4:23" x14ac:dyDescent="0.15">
      <c r="D149" s="40" t="s">
        <v>874</v>
      </c>
      <c r="E149" s="40" t="s">
        <v>877</v>
      </c>
      <c r="F149" s="40" t="s">
        <v>878</v>
      </c>
      <c r="G149" s="40">
        <v>12</v>
      </c>
      <c r="H149" s="41">
        <v>40513.40625</v>
      </c>
      <c r="I149" s="40">
        <v>1.65</v>
      </c>
      <c r="J149" s="40">
        <v>16098</v>
      </c>
      <c r="K149" s="40" t="s">
        <v>71</v>
      </c>
      <c r="L149" s="42">
        <v>19.8</v>
      </c>
      <c r="M149" s="40" t="s">
        <v>721</v>
      </c>
      <c r="N149" s="40">
        <v>2010</v>
      </c>
      <c r="O149" s="40" t="s">
        <v>83</v>
      </c>
      <c r="P149" s="40" t="s">
        <v>126</v>
      </c>
      <c r="Q149" s="40" t="s">
        <v>624</v>
      </c>
      <c r="R149" s="40">
        <v>9</v>
      </c>
      <c r="S149" s="40" t="b">
        <v>0</v>
      </c>
      <c r="T149" s="40" t="b">
        <v>1</v>
      </c>
      <c r="U149" s="42">
        <f t="shared" si="2"/>
        <v>19.8</v>
      </c>
      <c r="V149" s="42">
        <v>0</v>
      </c>
      <c r="W149" s="42">
        <v>19.8</v>
      </c>
    </row>
    <row r="150" spans="4:23" x14ac:dyDescent="0.15">
      <c r="D150" s="43" t="s">
        <v>874</v>
      </c>
      <c r="E150" s="43" t="s">
        <v>229</v>
      </c>
      <c r="F150" s="43" t="s">
        <v>230</v>
      </c>
      <c r="G150" s="43">
        <v>10</v>
      </c>
      <c r="H150" s="44">
        <v>40513.40625</v>
      </c>
      <c r="I150" s="43">
        <v>1.95</v>
      </c>
      <c r="J150" s="43">
        <v>16098</v>
      </c>
      <c r="K150" s="43" t="s">
        <v>71</v>
      </c>
      <c r="L150" s="45">
        <v>19.5</v>
      </c>
      <c r="M150" s="43" t="s">
        <v>721</v>
      </c>
      <c r="N150" s="43">
        <v>2010</v>
      </c>
      <c r="O150" s="43" t="s">
        <v>83</v>
      </c>
      <c r="P150" s="43" t="s">
        <v>126</v>
      </c>
      <c r="Q150" s="43" t="s">
        <v>624</v>
      </c>
      <c r="R150" s="43">
        <v>9</v>
      </c>
      <c r="S150" s="43" t="b">
        <v>0</v>
      </c>
      <c r="T150" s="43" t="b">
        <v>1</v>
      </c>
      <c r="U150" s="45">
        <f t="shared" si="2"/>
        <v>19.5</v>
      </c>
      <c r="V150" s="45">
        <v>0</v>
      </c>
      <c r="W150" s="45">
        <v>19.5</v>
      </c>
    </row>
    <row r="151" spans="4:23" x14ac:dyDescent="0.15">
      <c r="D151" s="40" t="s">
        <v>874</v>
      </c>
      <c r="E151" s="40" t="s">
        <v>407</v>
      </c>
      <c r="F151" s="40" t="s">
        <v>408</v>
      </c>
      <c r="G151" s="40">
        <v>10</v>
      </c>
      <c r="H151" s="41">
        <v>40513.40625</v>
      </c>
      <c r="I151" s="40">
        <v>2.1</v>
      </c>
      <c r="J151" s="40">
        <v>16098</v>
      </c>
      <c r="K151" s="40" t="s">
        <v>71</v>
      </c>
      <c r="L151" s="42">
        <v>21</v>
      </c>
      <c r="M151" s="40" t="s">
        <v>721</v>
      </c>
      <c r="N151" s="40">
        <v>2010</v>
      </c>
      <c r="O151" s="40" t="s">
        <v>83</v>
      </c>
      <c r="P151" s="40" t="s">
        <v>126</v>
      </c>
      <c r="Q151" s="40" t="s">
        <v>624</v>
      </c>
      <c r="R151" s="40">
        <v>9</v>
      </c>
      <c r="S151" s="40" t="b">
        <v>0</v>
      </c>
      <c r="T151" s="40" t="b">
        <v>1</v>
      </c>
      <c r="U151" s="42">
        <f t="shared" si="2"/>
        <v>21</v>
      </c>
      <c r="V151" s="42">
        <v>0</v>
      </c>
      <c r="W151" s="42">
        <v>21</v>
      </c>
    </row>
    <row r="152" spans="4:23" x14ac:dyDescent="0.15">
      <c r="D152" s="43" t="s">
        <v>874</v>
      </c>
      <c r="E152" s="43" t="s">
        <v>879</v>
      </c>
      <c r="F152" s="43" t="s">
        <v>880</v>
      </c>
      <c r="G152" s="43">
        <v>50</v>
      </c>
      <c r="H152" s="44">
        <v>40513.40625</v>
      </c>
      <c r="I152" s="43">
        <v>1.85</v>
      </c>
      <c r="J152" s="43">
        <v>16098</v>
      </c>
      <c r="K152" s="43" t="s">
        <v>71</v>
      </c>
      <c r="L152" s="45">
        <v>92.5</v>
      </c>
      <c r="M152" s="43" t="s">
        <v>721</v>
      </c>
      <c r="N152" s="43">
        <v>2010</v>
      </c>
      <c r="O152" s="43" t="s">
        <v>83</v>
      </c>
      <c r="P152" s="43" t="s">
        <v>126</v>
      </c>
      <c r="Q152" s="43" t="s">
        <v>624</v>
      </c>
      <c r="R152" s="43">
        <v>9</v>
      </c>
      <c r="S152" s="43" t="b">
        <v>0</v>
      </c>
      <c r="T152" s="43" t="b">
        <v>1</v>
      </c>
      <c r="U152" s="45">
        <f t="shared" si="2"/>
        <v>92.5</v>
      </c>
      <c r="V152" s="45">
        <v>0</v>
      </c>
      <c r="W152" s="45">
        <v>92.5</v>
      </c>
    </row>
    <row r="153" spans="4:23" x14ac:dyDescent="0.15">
      <c r="D153" s="40" t="s">
        <v>874</v>
      </c>
      <c r="E153" s="40" t="s">
        <v>881</v>
      </c>
      <c r="F153" s="40" t="s">
        <v>882</v>
      </c>
      <c r="G153" s="40">
        <v>8</v>
      </c>
      <c r="H153" s="41">
        <v>40513.40625</v>
      </c>
      <c r="I153" s="40">
        <v>2.95</v>
      </c>
      <c r="J153" s="40">
        <v>16098</v>
      </c>
      <c r="K153" s="40" t="s">
        <v>71</v>
      </c>
      <c r="L153" s="42">
        <v>23.6</v>
      </c>
      <c r="M153" s="40" t="s">
        <v>721</v>
      </c>
      <c r="N153" s="40">
        <v>2010</v>
      </c>
      <c r="O153" s="40" t="s">
        <v>83</v>
      </c>
      <c r="P153" s="40" t="s">
        <v>126</v>
      </c>
      <c r="Q153" s="40" t="s">
        <v>624</v>
      </c>
      <c r="R153" s="40">
        <v>9</v>
      </c>
      <c r="S153" s="40" t="b">
        <v>0</v>
      </c>
      <c r="T153" s="40" t="b">
        <v>1</v>
      </c>
      <c r="U153" s="42">
        <f t="shared" si="2"/>
        <v>23.6</v>
      </c>
      <c r="V153" s="42">
        <v>0</v>
      </c>
      <c r="W153" s="42">
        <v>23.6</v>
      </c>
    </row>
    <row r="154" spans="4:23" x14ac:dyDescent="0.15">
      <c r="D154" s="43" t="s">
        <v>874</v>
      </c>
      <c r="E154" s="43" t="s">
        <v>239</v>
      </c>
      <c r="F154" s="43" t="s">
        <v>240</v>
      </c>
      <c r="G154" s="43">
        <v>4</v>
      </c>
      <c r="H154" s="44">
        <v>40513.40625</v>
      </c>
      <c r="I154" s="43">
        <v>3.75</v>
      </c>
      <c r="J154" s="43">
        <v>16098</v>
      </c>
      <c r="K154" s="43" t="s">
        <v>71</v>
      </c>
      <c r="L154" s="45">
        <v>15</v>
      </c>
      <c r="M154" s="43" t="s">
        <v>721</v>
      </c>
      <c r="N154" s="43">
        <v>2010</v>
      </c>
      <c r="O154" s="43" t="s">
        <v>83</v>
      </c>
      <c r="P154" s="43" t="s">
        <v>126</v>
      </c>
      <c r="Q154" s="43" t="s">
        <v>624</v>
      </c>
      <c r="R154" s="43">
        <v>9</v>
      </c>
      <c r="S154" s="43" t="b">
        <v>0</v>
      </c>
      <c r="T154" s="43" t="b">
        <v>1</v>
      </c>
      <c r="U154" s="45">
        <f t="shared" si="2"/>
        <v>15</v>
      </c>
      <c r="V154" s="45">
        <v>0</v>
      </c>
      <c r="W154" s="45">
        <v>15</v>
      </c>
    </row>
    <row r="155" spans="4:23" x14ac:dyDescent="0.15">
      <c r="D155" s="40" t="s">
        <v>874</v>
      </c>
      <c r="E155" s="40" t="s">
        <v>883</v>
      </c>
      <c r="F155" s="40" t="s">
        <v>884</v>
      </c>
      <c r="G155" s="40">
        <v>12</v>
      </c>
      <c r="H155" s="41">
        <v>40513.40625</v>
      </c>
      <c r="I155" s="40">
        <v>5.95</v>
      </c>
      <c r="J155" s="40">
        <v>16098</v>
      </c>
      <c r="K155" s="40" t="s">
        <v>71</v>
      </c>
      <c r="L155" s="42">
        <v>71.400000000000006</v>
      </c>
      <c r="M155" s="40" t="s">
        <v>721</v>
      </c>
      <c r="N155" s="40">
        <v>2010</v>
      </c>
      <c r="O155" s="40" t="s">
        <v>83</v>
      </c>
      <c r="P155" s="40" t="s">
        <v>126</v>
      </c>
      <c r="Q155" s="40" t="s">
        <v>624</v>
      </c>
      <c r="R155" s="40">
        <v>9</v>
      </c>
      <c r="S155" s="40" t="b">
        <v>0</v>
      </c>
      <c r="T155" s="40" t="b">
        <v>1</v>
      </c>
      <c r="U155" s="42">
        <f t="shared" si="2"/>
        <v>71.400000000000006</v>
      </c>
      <c r="V155" s="42">
        <v>0</v>
      </c>
      <c r="W155" s="42">
        <v>71.400000000000006</v>
      </c>
    </row>
    <row r="156" spans="4:23" x14ac:dyDescent="0.15">
      <c r="D156" s="43" t="s">
        <v>874</v>
      </c>
      <c r="E156" s="43" t="s">
        <v>885</v>
      </c>
      <c r="F156" s="43" t="s">
        <v>886</v>
      </c>
      <c r="G156" s="43">
        <v>2</v>
      </c>
      <c r="H156" s="44">
        <v>40513.40625</v>
      </c>
      <c r="I156" s="43">
        <v>14.95</v>
      </c>
      <c r="J156" s="43">
        <v>16098</v>
      </c>
      <c r="K156" s="43" t="s">
        <v>71</v>
      </c>
      <c r="L156" s="45">
        <v>29.9</v>
      </c>
      <c r="M156" s="43" t="s">
        <v>721</v>
      </c>
      <c r="N156" s="43">
        <v>2010</v>
      </c>
      <c r="O156" s="43" t="s">
        <v>83</v>
      </c>
      <c r="P156" s="43" t="s">
        <v>126</v>
      </c>
      <c r="Q156" s="43" t="s">
        <v>624</v>
      </c>
      <c r="R156" s="43">
        <v>9</v>
      </c>
      <c r="S156" s="43" t="b">
        <v>0</v>
      </c>
      <c r="T156" s="43" t="b">
        <v>1</v>
      </c>
      <c r="U156" s="45">
        <f t="shared" si="2"/>
        <v>29.9</v>
      </c>
      <c r="V156" s="45">
        <v>0</v>
      </c>
      <c r="W156" s="45">
        <v>29.9</v>
      </c>
    </row>
    <row r="157" spans="4:23" x14ac:dyDescent="0.15">
      <c r="D157" s="40" t="s">
        <v>874</v>
      </c>
      <c r="E157" s="40" t="s">
        <v>887</v>
      </c>
      <c r="F157" s="40" t="s">
        <v>888</v>
      </c>
      <c r="G157" s="40">
        <v>2</v>
      </c>
      <c r="H157" s="41">
        <v>40513.40625</v>
      </c>
      <c r="I157" s="40">
        <v>14.95</v>
      </c>
      <c r="J157" s="40">
        <v>16098</v>
      </c>
      <c r="K157" s="40" t="s">
        <v>71</v>
      </c>
      <c r="L157" s="42">
        <v>29.9</v>
      </c>
      <c r="M157" s="40" t="s">
        <v>721</v>
      </c>
      <c r="N157" s="40">
        <v>2010</v>
      </c>
      <c r="O157" s="40" t="s">
        <v>83</v>
      </c>
      <c r="P157" s="40" t="s">
        <v>126</v>
      </c>
      <c r="Q157" s="40" t="s">
        <v>624</v>
      </c>
      <c r="R157" s="40">
        <v>9</v>
      </c>
      <c r="S157" s="40" t="b">
        <v>0</v>
      </c>
      <c r="T157" s="40" t="b">
        <v>1</v>
      </c>
      <c r="U157" s="42">
        <f t="shared" si="2"/>
        <v>29.9</v>
      </c>
      <c r="V157" s="42">
        <v>0</v>
      </c>
      <c r="W157" s="42">
        <v>29.9</v>
      </c>
    </row>
    <row r="158" spans="4:23" x14ac:dyDescent="0.15">
      <c r="D158" s="43" t="s">
        <v>874</v>
      </c>
      <c r="E158" s="43" t="s">
        <v>889</v>
      </c>
      <c r="F158" s="43" t="s">
        <v>890</v>
      </c>
      <c r="G158" s="43">
        <v>4</v>
      </c>
      <c r="H158" s="44">
        <v>40513.40625</v>
      </c>
      <c r="I158" s="43">
        <v>16.95</v>
      </c>
      <c r="J158" s="43">
        <v>16098</v>
      </c>
      <c r="K158" s="43" t="s">
        <v>71</v>
      </c>
      <c r="L158" s="45">
        <v>67.8</v>
      </c>
      <c r="M158" s="43" t="s">
        <v>721</v>
      </c>
      <c r="N158" s="43">
        <v>2010</v>
      </c>
      <c r="O158" s="43" t="s">
        <v>83</v>
      </c>
      <c r="P158" s="43" t="s">
        <v>126</v>
      </c>
      <c r="Q158" s="43" t="s">
        <v>624</v>
      </c>
      <c r="R158" s="43">
        <v>9</v>
      </c>
      <c r="S158" s="43" t="b">
        <v>0</v>
      </c>
      <c r="T158" s="43" t="b">
        <v>1</v>
      </c>
      <c r="U158" s="45">
        <f t="shared" si="2"/>
        <v>67.8</v>
      </c>
      <c r="V158" s="45">
        <v>0</v>
      </c>
      <c r="W158" s="45">
        <v>67.8</v>
      </c>
    </row>
    <row r="159" spans="4:23" x14ac:dyDescent="0.15">
      <c r="D159" s="40" t="s">
        <v>891</v>
      </c>
      <c r="E159" s="40" t="s">
        <v>892</v>
      </c>
      <c r="F159" s="40" t="s">
        <v>893</v>
      </c>
      <c r="G159" s="40">
        <v>-1</v>
      </c>
      <c r="H159" s="41">
        <v>40513.40902777778</v>
      </c>
      <c r="I159" s="40">
        <v>4.6500000000000004</v>
      </c>
      <c r="J159" s="40">
        <v>15311</v>
      </c>
      <c r="K159" s="40" t="s">
        <v>71</v>
      </c>
      <c r="L159" s="42">
        <v>-4.6500000000000004</v>
      </c>
      <c r="M159" s="40" t="s">
        <v>602</v>
      </c>
      <c r="N159" s="40">
        <v>2010</v>
      </c>
      <c r="O159" s="40" t="s">
        <v>83</v>
      </c>
      <c r="P159" s="40" t="s">
        <v>126</v>
      </c>
      <c r="Q159" s="40" t="s">
        <v>624</v>
      </c>
      <c r="R159" s="40">
        <v>9</v>
      </c>
      <c r="S159" s="40" t="b">
        <v>1</v>
      </c>
      <c r="T159" s="40" t="b">
        <v>0</v>
      </c>
      <c r="U159" s="42">
        <f t="shared" si="2"/>
        <v>0</v>
      </c>
      <c r="V159" s="42">
        <v>4.6500000000000004</v>
      </c>
      <c r="W159" s="42">
        <v>-4.6500000000000004</v>
      </c>
    </row>
    <row r="160" spans="4:23" x14ac:dyDescent="0.15">
      <c r="D160" s="43" t="s">
        <v>894</v>
      </c>
      <c r="E160" s="43" t="s">
        <v>195</v>
      </c>
      <c r="F160" s="43" t="s">
        <v>196</v>
      </c>
      <c r="G160" s="43">
        <v>3</v>
      </c>
      <c r="H160" s="44">
        <v>40513.411805555559</v>
      </c>
      <c r="I160" s="43">
        <v>6.45</v>
      </c>
      <c r="J160" s="43">
        <v>18074</v>
      </c>
      <c r="K160" s="43" t="s">
        <v>71</v>
      </c>
      <c r="L160" s="45">
        <v>19.350000000000001</v>
      </c>
      <c r="M160" s="43" t="s">
        <v>721</v>
      </c>
      <c r="N160" s="43">
        <v>2010</v>
      </c>
      <c r="O160" s="43" t="s">
        <v>83</v>
      </c>
      <c r="P160" s="43" t="s">
        <v>126</v>
      </c>
      <c r="Q160" s="43" t="s">
        <v>624</v>
      </c>
      <c r="R160" s="43">
        <v>9</v>
      </c>
      <c r="S160" s="43" t="b">
        <v>0</v>
      </c>
      <c r="T160" s="43" t="b">
        <v>1</v>
      </c>
      <c r="U160" s="45">
        <f t="shared" si="2"/>
        <v>19.350000000000001</v>
      </c>
      <c r="V160" s="45">
        <v>0</v>
      </c>
      <c r="W160" s="45">
        <v>19.350000000000001</v>
      </c>
    </row>
    <row r="161" spans="4:23" x14ac:dyDescent="0.15">
      <c r="D161" s="40" t="s">
        <v>894</v>
      </c>
      <c r="E161" s="40" t="s">
        <v>895</v>
      </c>
      <c r="F161" s="40" t="s">
        <v>896</v>
      </c>
      <c r="G161" s="40">
        <v>48</v>
      </c>
      <c r="H161" s="41">
        <v>40513.411805555559</v>
      </c>
      <c r="I161" s="40">
        <v>0.65</v>
      </c>
      <c r="J161" s="40">
        <v>18074</v>
      </c>
      <c r="K161" s="40" t="s">
        <v>71</v>
      </c>
      <c r="L161" s="42">
        <v>31.2</v>
      </c>
      <c r="M161" s="40" t="s">
        <v>721</v>
      </c>
      <c r="N161" s="40">
        <v>2010</v>
      </c>
      <c r="O161" s="40" t="s">
        <v>83</v>
      </c>
      <c r="P161" s="40" t="s">
        <v>126</v>
      </c>
      <c r="Q161" s="40" t="s">
        <v>624</v>
      </c>
      <c r="R161" s="40">
        <v>9</v>
      </c>
      <c r="S161" s="40" t="b">
        <v>0</v>
      </c>
      <c r="T161" s="40" t="b">
        <v>1</v>
      </c>
      <c r="U161" s="42">
        <f t="shared" si="2"/>
        <v>31.2</v>
      </c>
      <c r="V161" s="42">
        <v>0</v>
      </c>
      <c r="W161" s="42">
        <v>31.2</v>
      </c>
    </row>
    <row r="162" spans="4:23" x14ac:dyDescent="0.15">
      <c r="D162" s="43" t="s">
        <v>894</v>
      </c>
      <c r="E162" s="43" t="s">
        <v>897</v>
      </c>
      <c r="F162" s="43" t="s">
        <v>898</v>
      </c>
      <c r="G162" s="43">
        <v>12</v>
      </c>
      <c r="H162" s="44">
        <v>40513.411805555559</v>
      </c>
      <c r="I162" s="43">
        <v>1.65</v>
      </c>
      <c r="J162" s="43">
        <v>18074</v>
      </c>
      <c r="K162" s="43" t="s">
        <v>71</v>
      </c>
      <c r="L162" s="45">
        <v>19.8</v>
      </c>
      <c r="M162" s="43" t="s">
        <v>721</v>
      </c>
      <c r="N162" s="43">
        <v>2010</v>
      </c>
      <c r="O162" s="43" t="s">
        <v>83</v>
      </c>
      <c r="P162" s="43" t="s">
        <v>126</v>
      </c>
      <c r="Q162" s="43" t="s">
        <v>624</v>
      </c>
      <c r="R162" s="43">
        <v>9</v>
      </c>
      <c r="S162" s="43" t="b">
        <v>0</v>
      </c>
      <c r="T162" s="43" t="b">
        <v>1</v>
      </c>
      <c r="U162" s="45">
        <f t="shared" si="2"/>
        <v>19.8</v>
      </c>
      <c r="V162" s="45">
        <v>0</v>
      </c>
      <c r="W162" s="45">
        <v>19.8</v>
      </c>
    </row>
    <row r="163" spans="4:23" x14ac:dyDescent="0.15">
      <c r="D163" s="40" t="s">
        <v>894</v>
      </c>
      <c r="E163" s="40" t="s">
        <v>899</v>
      </c>
      <c r="F163" s="40" t="s">
        <v>900</v>
      </c>
      <c r="G163" s="40">
        <v>6</v>
      </c>
      <c r="H163" s="41">
        <v>40513.411805555559</v>
      </c>
      <c r="I163" s="40">
        <v>2.95</v>
      </c>
      <c r="J163" s="40">
        <v>18074</v>
      </c>
      <c r="K163" s="40" t="s">
        <v>71</v>
      </c>
      <c r="L163" s="42">
        <v>17.7</v>
      </c>
      <c r="M163" s="40" t="s">
        <v>721</v>
      </c>
      <c r="N163" s="40">
        <v>2010</v>
      </c>
      <c r="O163" s="40" t="s">
        <v>83</v>
      </c>
      <c r="P163" s="40" t="s">
        <v>126</v>
      </c>
      <c r="Q163" s="40" t="s">
        <v>624</v>
      </c>
      <c r="R163" s="40">
        <v>9</v>
      </c>
      <c r="S163" s="40" t="b">
        <v>0</v>
      </c>
      <c r="T163" s="40" t="b">
        <v>1</v>
      </c>
      <c r="U163" s="42">
        <f t="shared" si="2"/>
        <v>17.7</v>
      </c>
      <c r="V163" s="42">
        <v>0</v>
      </c>
      <c r="W163" s="42">
        <v>17.7</v>
      </c>
    </row>
    <row r="164" spans="4:23" x14ac:dyDescent="0.15">
      <c r="D164" s="43" t="s">
        <v>894</v>
      </c>
      <c r="E164" s="43" t="s">
        <v>231</v>
      </c>
      <c r="F164" s="43" t="s">
        <v>232</v>
      </c>
      <c r="G164" s="43">
        <v>12</v>
      </c>
      <c r="H164" s="44">
        <v>40513.411805555559</v>
      </c>
      <c r="I164" s="43">
        <v>2.95</v>
      </c>
      <c r="J164" s="43">
        <v>18074</v>
      </c>
      <c r="K164" s="43" t="s">
        <v>71</v>
      </c>
      <c r="L164" s="45">
        <v>35.400000000000013</v>
      </c>
      <c r="M164" s="43" t="s">
        <v>721</v>
      </c>
      <c r="N164" s="43">
        <v>2010</v>
      </c>
      <c r="O164" s="43" t="s">
        <v>83</v>
      </c>
      <c r="P164" s="43" t="s">
        <v>126</v>
      </c>
      <c r="Q164" s="43" t="s">
        <v>624</v>
      </c>
      <c r="R164" s="43">
        <v>9</v>
      </c>
      <c r="S164" s="43" t="b">
        <v>0</v>
      </c>
      <c r="T164" s="43" t="b">
        <v>1</v>
      </c>
      <c r="U164" s="45">
        <f t="shared" si="2"/>
        <v>35.400000000000013</v>
      </c>
      <c r="V164" s="45">
        <v>0</v>
      </c>
      <c r="W164" s="45">
        <v>35.400000000000013</v>
      </c>
    </row>
    <row r="165" spans="4:23" x14ac:dyDescent="0.15">
      <c r="D165" s="40" t="s">
        <v>894</v>
      </c>
      <c r="E165" s="40" t="s">
        <v>211</v>
      </c>
      <c r="F165" s="40" t="s">
        <v>212</v>
      </c>
      <c r="G165" s="40">
        <v>40</v>
      </c>
      <c r="H165" s="41">
        <v>40513.411805555559</v>
      </c>
      <c r="I165" s="40">
        <v>1.45</v>
      </c>
      <c r="J165" s="40">
        <v>18074</v>
      </c>
      <c r="K165" s="40" t="s">
        <v>71</v>
      </c>
      <c r="L165" s="42">
        <v>58</v>
      </c>
      <c r="M165" s="40" t="s">
        <v>721</v>
      </c>
      <c r="N165" s="40">
        <v>2010</v>
      </c>
      <c r="O165" s="40" t="s">
        <v>83</v>
      </c>
      <c r="P165" s="40" t="s">
        <v>126</v>
      </c>
      <c r="Q165" s="40" t="s">
        <v>624</v>
      </c>
      <c r="R165" s="40">
        <v>9</v>
      </c>
      <c r="S165" s="40" t="b">
        <v>0</v>
      </c>
      <c r="T165" s="40" t="b">
        <v>1</v>
      </c>
      <c r="U165" s="42">
        <f t="shared" si="2"/>
        <v>58</v>
      </c>
      <c r="V165" s="42">
        <v>0</v>
      </c>
      <c r="W165" s="42">
        <v>58</v>
      </c>
    </row>
    <row r="166" spans="4:23" x14ac:dyDescent="0.15">
      <c r="D166" s="43" t="s">
        <v>894</v>
      </c>
      <c r="E166" s="43" t="s">
        <v>221</v>
      </c>
      <c r="F166" s="43" t="s">
        <v>222</v>
      </c>
      <c r="G166" s="43">
        <v>40</v>
      </c>
      <c r="H166" s="44">
        <v>40513.411805555559</v>
      </c>
      <c r="I166" s="43">
        <v>2.5499999999999998</v>
      </c>
      <c r="J166" s="43">
        <v>18074</v>
      </c>
      <c r="K166" s="43" t="s">
        <v>71</v>
      </c>
      <c r="L166" s="45">
        <v>102</v>
      </c>
      <c r="M166" s="43" t="s">
        <v>721</v>
      </c>
      <c r="N166" s="43">
        <v>2010</v>
      </c>
      <c r="O166" s="43" t="s">
        <v>83</v>
      </c>
      <c r="P166" s="43" t="s">
        <v>126</v>
      </c>
      <c r="Q166" s="43" t="s">
        <v>624</v>
      </c>
      <c r="R166" s="43">
        <v>9</v>
      </c>
      <c r="S166" s="43" t="b">
        <v>0</v>
      </c>
      <c r="T166" s="43" t="b">
        <v>1</v>
      </c>
      <c r="U166" s="45">
        <f t="shared" si="2"/>
        <v>102</v>
      </c>
      <c r="V166" s="45">
        <v>0</v>
      </c>
      <c r="W166" s="45">
        <v>102</v>
      </c>
    </row>
    <row r="167" spans="4:23" x14ac:dyDescent="0.15">
      <c r="D167" s="40" t="s">
        <v>894</v>
      </c>
      <c r="E167" s="40" t="s">
        <v>901</v>
      </c>
      <c r="F167" s="40" t="s">
        <v>902</v>
      </c>
      <c r="G167" s="40">
        <v>6</v>
      </c>
      <c r="H167" s="41">
        <v>40513.411805555559</v>
      </c>
      <c r="I167" s="40">
        <v>2.95</v>
      </c>
      <c r="J167" s="40">
        <v>18074</v>
      </c>
      <c r="K167" s="40" t="s">
        <v>71</v>
      </c>
      <c r="L167" s="42">
        <v>17.7</v>
      </c>
      <c r="M167" s="40" t="s">
        <v>721</v>
      </c>
      <c r="N167" s="40">
        <v>2010</v>
      </c>
      <c r="O167" s="40" t="s">
        <v>83</v>
      </c>
      <c r="P167" s="40" t="s">
        <v>126</v>
      </c>
      <c r="Q167" s="40" t="s">
        <v>624</v>
      </c>
      <c r="R167" s="40">
        <v>9</v>
      </c>
      <c r="S167" s="40" t="b">
        <v>0</v>
      </c>
      <c r="T167" s="40" t="b">
        <v>1</v>
      </c>
      <c r="U167" s="42">
        <f t="shared" si="2"/>
        <v>17.7</v>
      </c>
      <c r="V167" s="42">
        <v>0</v>
      </c>
      <c r="W167" s="42">
        <v>17.7</v>
      </c>
    </row>
    <row r="168" spans="4:23" x14ac:dyDescent="0.15">
      <c r="D168" s="43" t="s">
        <v>894</v>
      </c>
      <c r="E168" s="43" t="s">
        <v>540</v>
      </c>
      <c r="F168" s="43" t="s">
        <v>541</v>
      </c>
      <c r="G168" s="43">
        <v>2</v>
      </c>
      <c r="H168" s="44">
        <v>40513.411805555559</v>
      </c>
      <c r="I168" s="43">
        <v>12.75</v>
      </c>
      <c r="J168" s="43">
        <v>18074</v>
      </c>
      <c r="K168" s="43" t="s">
        <v>71</v>
      </c>
      <c r="L168" s="45">
        <v>25.5</v>
      </c>
      <c r="M168" s="43" t="s">
        <v>721</v>
      </c>
      <c r="N168" s="43">
        <v>2010</v>
      </c>
      <c r="O168" s="43" t="s">
        <v>83</v>
      </c>
      <c r="P168" s="43" t="s">
        <v>126</v>
      </c>
      <c r="Q168" s="43" t="s">
        <v>624</v>
      </c>
      <c r="R168" s="43">
        <v>9</v>
      </c>
      <c r="S168" s="43" t="b">
        <v>0</v>
      </c>
      <c r="T168" s="43" t="b">
        <v>1</v>
      </c>
      <c r="U168" s="45">
        <f t="shared" si="2"/>
        <v>25.5</v>
      </c>
      <c r="V168" s="45">
        <v>0</v>
      </c>
      <c r="W168" s="45">
        <v>25.5</v>
      </c>
    </row>
    <row r="169" spans="4:23" x14ac:dyDescent="0.15">
      <c r="D169" s="40" t="s">
        <v>894</v>
      </c>
      <c r="E169" s="40" t="s">
        <v>281</v>
      </c>
      <c r="F169" s="40" t="s">
        <v>282</v>
      </c>
      <c r="G169" s="40">
        <v>4</v>
      </c>
      <c r="H169" s="41">
        <v>40513.411805555559</v>
      </c>
      <c r="I169" s="40">
        <v>3.95</v>
      </c>
      <c r="J169" s="40">
        <v>18074</v>
      </c>
      <c r="K169" s="40" t="s">
        <v>71</v>
      </c>
      <c r="L169" s="42">
        <v>15.8</v>
      </c>
      <c r="M169" s="40" t="s">
        <v>721</v>
      </c>
      <c r="N169" s="40">
        <v>2010</v>
      </c>
      <c r="O169" s="40" t="s">
        <v>83</v>
      </c>
      <c r="P169" s="40" t="s">
        <v>126</v>
      </c>
      <c r="Q169" s="40" t="s">
        <v>624</v>
      </c>
      <c r="R169" s="40">
        <v>9</v>
      </c>
      <c r="S169" s="40" t="b">
        <v>0</v>
      </c>
      <c r="T169" s="40" t="b">
        <v>1</v>
      </c>
      <c r="U169" s="42">
        <f t="shared" si="2"/>
        <v>15.8</v>
      </c>
      <c r="V169" s="42">
        <v>0</v>
      </c>
      <c r="W169" s="42">
        <v>15.8</v>
      </c>
    </row>
    <row r="170" spans="4:23" x14ac:dyDescent="0.15">
      <c r="D170" s="43" t="s">
        <v>894</v>
      </c>
      <c r="E170" s="43" t="s">
        <v>475</v>
      </c>
      <c r="F170" s="43" t="s">
        <v>476</v>
      </c>
      <c r="G170" s="43">
        <v>3</v>
      </c>
      <c r="H170" s="44">
        <v>40513.411805555559</v>
      </c>
      <c r="I170" s="43">
        <v>5.95</v>
      </c>
      <c r="J170" s="43">
        <v>18074</v>
      </c>
      <c r="K170" s="43" t="s">
        <v>71</v>
      </c>
      <c r="L170" s="45">
        <v>17.850000000000001</v>
      </c>
      <c r="M170" s="43" t="s">
        <v>721</v>
      </c>
      <c r="N170" s="43">
        <v>2010</v>
      </c>
      <c r="O170" s="43" t="s">
        <v>83</v>
      </c>
      <c r="P170" s="43" t="s">
        <v>126</v>
      </c>
      <c r="Q170" s="43" t="s">
        <v>624</v>
      </c>
      <c r="R170" s="43">
        <v>9</v>
      </c>
      <c r="S170" s="43" t="b">
        <v>0</v>
      </c>
      <c r="T170" s="43" t="b">
        <v>1</v>
      </c>
      <c r="U170" s="45">
        <f t="shared" si="2"/>
        <v>17.850000000000001</v>
      </c>
      <c r="V170" s="45">
        <v>0</v>
      </c>
      <c r="W170" s="45">
        <v>17.850000000000001</v>
      </c>
    </row>
    <row r="171" spans="4:23" x14ac:dyDescent="0.15">
      <c r="D171" s="40" t="s">
        <v>894</v>
      </c>
      <c r="E171" s="40" t="s">
        <v>903</v>
      </c>
      <c r="F171" s="40" t="s">
        <v>904</v>
      </c>
      <c r="G171" s="40">
        <v>6</v>
      </c>
      <c r="H171" s="41">
        <v>40513.411805555559</v>
      </c>
      <c r="I171" s="40">
        <v>6.95</v>
      </c>
      <c r="J171" s="40">
        <v>18074</v>
      </c>
      <c r="K171" s="40" t="s">
        <v>71</v>
      </c>
      <c r="L171" s="42">
        <v>41.7</v>
      </c>
      <c r="M171" s="40" t="s">
        <v>721</v>
      </c>
      <c r="N171" s="40">
        <v>2010</v>
      </c>
      <c r="O171" s="40" t="s">
        <v>83</v>
      </c>
      <c r="P171" s="40" t="s">
        <v>126</v>
      </c>
      <c r="Q171" s="40" t="s">
        <v>624</v>
      </c>
      <c r="R171" s="40">
        <v>9</v>
      </c>
      <c r="S171" s="40" t="b">
        <v>0</v>
      </c>
      <c r="T171" s="40" t="b">
        <v>1</v>
      </c>
      <c r="U171" s="42">
        <f t="shared" si="2"/>
        <v>41.7</v>
      </c>
      <c r="V171" s="42">
        <v>0</v>
      </c>
      <c r="W171" s="42">
        <v>41.7</v>
      </c>
    </row>
    <row r="172" spans="4:23" x14ac:dyDescent="0.15">
      <c r="D172" s="43" t="s">
        <v>894</v>
      </c>
      <c r="E172" s="43" t="s">
        <v>493</v>
      </c>
      <c r="F172" s="43" t="s">
        <v>494</v>
      </c>
      <c r="G172" s="43">
        <v>8</v>
      </c>
      <c r="H172" s="44">
        <v>40513.411805555559</v>
      </c>
      <c r="I172" s="43">
        <v>10.95</v>
      </c>
      <c r="J172" s="43">
        <v>18074</v>
      </c>
      <c r="K172" s="43" t="s">
        <v>71</v>
      </c>
      <c r="L172" s="45">
        <v>87.6</v>
      </c>
      <c r="M172" s="43" t="s">
        <v>721</v>
      </c>
      <c r="N172" s="43">
        <v>2010</v>
      </c>
      <c r="O172" s="43" t="s">
        <v>83</v>
      </c>
      <c r="P172" s="43" t="s">
        <v>126</v>
      </c>
      <c r="Q172" s="43" t="s">
        <v>624</v>
      </c>
      <c r="R172" s="43">
        <v>9</v>
      </c>
      <c r="S172" s="43" t="b">
        <v>0</v>
      </c>
      <c r="T172" s="43" t="b">
        <v>1</v>
      </c>
      <c r="U172" s="45">
        <f t="shared" si="2"/>
        <v>87.6</v>
      </c>
      <c r="V172" s="45">
        <v>0</v>
      </c>
      <c r="W172" s="45">
        <v>87.6</v>
      </c>
    </row>
    <row r="173" spans="4:23" x14ac:dyDescent="0.15">
      <c r="D173" s="40" t="s">
        <v>905</v>
      </c>
      <c r="E173" s="40" t="s">
        <v>889</v>
      </c>
      <c r="F173" s="40" t="s">
        <v>890</v>
      </c>
      <c r="G173" s="40">
        <v>1</v>
      </c>
      <c r="H173" s="41">
        <v>40513.413888888892</v>
      </c>
      <c r="I173" s="40">
        <v>19.95</v>
      </c>
      <c r="J173" s="40">
        <v>17420</v>
      </c>
      <c r="K173" s="40" t="s">
        <v>71</v>
      </c>
      <c r="L173" s="42">
        <v>19.95</v>
      </c>
      <c r="M173" s="40" t="s">
        <v>721</v>
      </c>
      <c r="N173" s="40">
        <v>2010</v>
      </c>
      <c r="O173" s="40" t="s">
        <v>83</v>
      </c>
      <c r="P173" s="40" t="s">
        <v>126</v>
      </c>
      <c r="Q173" s="40" t="s">
        <v>624</v>
      </c>
      <c r="R173" s="40">
        <v>9</v>
      </c>
      <c r="S173" s="40" t="b">
        <v>0</v>
      </c>
      <c r="T173" s="40" t="b">
        <v>1</v>
      </c>
      <c r="U173" s="42">
        <f t="shared" si="2"/>
        <v>19.95</v>
      </c>
      <c r="V173" s="42">
        <v>0</v>
      </c>
      <c r="W173" s="42">
        <v>19.95</v>
      </c>
    </row>
    <row r="174" spans="4:23" x14ac:dyDescent="0.15">
      <c r="D174" s="43" t="s">
        <v>905</v>
      </c>
      <c r="E174" s="43" t="s">
        <v>251</v>
      </c>
      <c r="F174" s="43" t="s">
        <v>252</v>
      </c>
      <c r="G174" s="43">
        <v>12</v>
      </c>
      <c r="H174" s="44">
        <v>40513.413888888892</v>
      </c>
      <c r="I174" s="43">
        <v>1.45</v>
      </c>
      <c r="J174" s="43">
        <v>17420</v>
      </c>
      <c r="K174" s="43" t="s">
        <v>71</v>
      </c>
      <c r="L174" s="45">
        <v>17.399999999999999</v>
      </c>
      <c r="M174" s="43" t="s">
        <v>721</v>
      </c>
      <c r="N174" s="43">
        <v>2010</v>
      </c>
      <c r="O174" s="43" t="s">
        <v>83</v>
      </c>
      <c r="P174" s="43" t="s">
        <v>126</v>
      </c>
      <c r="Q174" s="43" t="s">
        <v>624</v>
      </c>
      <c r="R174" s="43">
        <v>9</v>
      </c>
      <c r="S174" s="43" t="b">
        <v>0</v>
      </c>
      <c r="T174" s="43" t="b">
        <v>1</v>
      </c>
      <c r="U174" s="45">
        <f t="shared" si="2"/>
        <v>17.399999999999999</v>
      </c>
      <c r="V174" s="45">
        <v>0</v>
      </c>
      <c r="W174" s="45">
        <v>17.399999999999999</v>
      </c>
    </row>
    <row r="175" spans="4:23" x14ac:dyDescent="0.15">
      <c r="D175" s="40" t="s">
        <v>905</v>
      </c>
      <c r="E175" s="40" t="s">
        <v>193</v>
      </c>
      <c r="F175" s="40" t="s">
        <v>194</v>
      </c>
      <c r="G175" s="40">
        <v>6</v>
      </c>
      <c r="H175" s="41">
        <v>40513.413888888892</v>
      </c>
      <c r="I175" s="40">
        <v>4.25</v>
      </c>
      <c r="J175" s="40">
        <v>17420</v>
      </c>
      <c r="K175" s="40" t="s">
        <v>71</v>
      </c>
      <c r="L175" s="42">
        <v>25.5</v>
      </c>
      <c r="M175" s="40" t="s">
        <v>721</v>
      </c>
      <c r="N175" s="40">
        <v>2010</v>
      </c>
      <c r="O175" s="40" t="s">
        <v>83</v>
      </c>
      <c r="P175" s="40" t="s">
        <v>126</v>
      </c>
      <c r="Q175" s="40" t="s">
        <v>624</v>
      </c>
      <c r="R175" s="40">
        <v>9</v>
      </c>
      <c r="S175" s="40" t="b">
        <v>0</v>
      </c>
      <c r="T175" s="40" t="b">
        <v>1</v>
      </c>
      <c r="U175" s="42">
        <f t="shared" si="2"/>
        <v>25.5</v>
      </c>
      <c r="V175" s="42">
        <v>0</v>
      </c>
      <c r="W175" s="42">
        <v>25.5</v>
      </c>
    </row>
    <row r="176" spans="4:23" x14ac:dyDescent="0.15">
      <c r="D176" s="43" t="s">
        <v>905</v>
      </c>
      <c r="E176" s="43" t="s">
        <v>906</v>
      </c>
      <c r="F176" s="43" t="s">
        <v>907</v>
      </c>
      <c r="G176" s="43">
        <v>10</v>
      </c>
      <c r="H176" s="44">
        <v>40513.413888888892</v>
      </c>
      <c r="I176" s="43">
        <v>1.95</v>
      </c>
      <c r="J176" s="43">
        <v>17420</v>
      </c>
      <c r="K176" s="43" t="s">
        <v>71</v>
      </c>
      <c r="L176" s="45">
        <v>19.5</v>
      </c>
      <c r="M176" s="43" t="s">
        <v>721</v>
      </c>
      <c r="N176" s="43">
        <v>2010</v>
      </c>
      <c r="O176" s="43" t="s">
        <v>83</v>
      </c>
      <c r="P176" s="43" t="s">
        <v>126</v>
      </c>
      <c r="Q176" s="43" t="s">
        <v>624</v>
      </c>
      <c r="R176" s="43">
        <v>9</v>
      </c>
      <c r="S176" s="43" t="b">
        <v>0</v>
      </c>
      <c r="T176" s="43" t="b">
        <v>1</v>
      </c>
      <c r="U176" s="45">
        <f t="shared" si="2"/>
        <v>19.5</v>
      </c>
      <c r="V176" s="45">
        <v>0</v>
      </c>
      <c r="W176" s="45">
        <v>19.5</v>
      </c>
    </row>
    <row r="177" spans="4:23" x14ac:dyDescent="0.15">
      <c r="D177" s="40" t="s">
        <v>905</v>
      </c>
      <c r="E177" s="40" t="s">
        <v>908</v>
      </c>
      <c r="F177" s="40" t="s">
        <v>909</v>
      </c>
      <c r="G177" s="40">
        <v>12</v>
      </c>
      <c r="H177" s="41">
        <v>40513.413888888892</v>
      </c>
      <c r="I177" s="40">
        <v>1.25</v>
      </c>
      <c r="J177" s="40">
        <v>17420</v>
      </c>
      <c r="K177" s="40" t="s">
        <v>71</v>
      </c>
      <c r="L177" s="42">
        <v>15</v>
      </c>
      <c r="M177" s="40" t="s">
        <v>721</v>
      </c>
      <c r="N177" s="40">
        <v>2010</v>
      </c>
      <c r="O177" s="40" t="s">
        <v>83</v>
      </c>
      <c r="P177" s="40" t="s">
        <v>126</v>
      </c>
      <c r="Q177" s="40" t="s">
        <v>624</v>
      </c>
      <c r="R177" s="40">
        <v>9</v>
      </c>
      <c r="S177" s="40" t="b">
        <v>0</v>
      </c>
      <c r="T177" s="40" t="b">
        <v>1</v>
      </c>
      <c r="U177" s="42">
        <f t="shared" si="2"/>
        <v>15</v>
      </c>
      <c r="V177" s="42">
        <v>0</v>
      </c>
      <c r="W177" s="42">
        <v>15</v>
      </c>
    </row>
    <row r="178" spans="4:23" x14ac:dyDescent="0.15">
      <c r="D178" s="43" t="s">
        <v>905</v>
      </c>
      <c r="E178" s="43" t="s">
        <v>910</v>
      </c>
      <c r="F178" s="43" t="s">
        <v>911</v>
      </c>
      <c r="G178" s="43">
        <v>2</v>
      </c>
      <c r="H178" s="44">
        <v>40513.413888888892</v>
      </c>
      <c r="I178" s="43">
        <v>8.5</v>
      </c>
      <c r="J178" s="43">
        <v>17420</v>
      </c>
      <c r="K178" s="43" t="s">
        <v>71</v>
      </c>
      <c r="L178" s="45">
        <v>17</v>
      </c>
      <c r="M178" s="43" t="s">
        <v>721</v>
      </c>
      <c r="N178" s="43">
        <v>2010</v>
      </c>
      <c r="O178" s="43" t="s">
        <v>83</v>
      </c>
      <c r="P178" s="43" t="s">
        <v>126</v>
      </c>
      <c r="Q178" s="43" t="s">
        <v>624</v>
      </c>
      <c r="R178" s="43">
        <v>9</v>
      </c>
      <c r="S178" s="43" t="b">
        <v>0</v>
      </c>
      <c r="T178" s="43" t="b">
        <v>1</v>
      </c>
      <c r="U178" s="45">
        <f t="shared" si="2"/>
        <v>17</v>
      </c>
      <c r="V178" s="45">
        <v>0</v>
      </c>
      <c r="W178" s="45">
        <v>17</v>
      </c>
    </row>
    <row r="179" spans="4:23" x14ac:dyDescent="0.15">
      <c r="D179" s="40" t="s">
        <v>905</v>
      </c>
      <c r="E179" s="40" t="s">
        <v>912</v>
      </c>
      <c r="F179" s="40" t="s">
        <v>913</v>
      </c>
      <c r="G179" s="40">
        <v>10</v>
      </c>
      <c r="H179" s="41">
        <v>40513.413888888892</v>
      </c>
      <c r="I179" s="40">
        <v>1.65</v>
      </c>
      <c r="J179" s="40">
        <v>17420</v>
      </c>
      <c r="K179" s="40" t="s">
        <v>71</v>
      </c>
      <c r="L179" s="42">
        <v>16.5</v>
      </c>
      <c r="M179" s="40" t="s">
        <v>721</v>
      </c>
      <c r="N179" s="40">
        <v>2010</v>
      </c>
      <c r="O179" s="40" t="s">
        <v>83</v>
      </c>
      <c r="P179" s="40" t="s">
        <v>126</v>
      </c>
      <c r="Q179" s="40" t="s">
        <v>624</v>
      </c>
      <c r="R179" s="40">
        <v>9</v>
      </c>
      <c r="S179" s="40" t="b">
        <v>0</v>
      </c>
      <c r="T179" s="40" t="b">
        <v>1</v>
      </c>
      <c r="U179" s="42">
        <f t="shared" si="2"/>
        <v>16.5</v>
      </c>
      <c r="V179" s="42">
        <v>0</v>
      </c>
      <c r="W179" s="42">
        <v>16.5</v>
      </c>
    </row>
    <row r="180" spans="4:23" x14ac:dyDescent="0.15">
      <c r="D180" s="43" t="s">
        <v>914</v>
      </c>
      <c r="E180" s="43" t="s">
        <v>915</v>
      </c>
      <c r="F180" s="43" t="s">
        <v>916</v>
      </c>
      <c r="G180" s="43">
        <v>36</v>
      </c>
      <c r="H180" s="44">
        <v>40513.414583333331</v>
      </c>
      <c r="I180" s="43">
        <v>4.95</v>
      </c>
      <c r="J180" s="43">
        <v>16029</v>
      </c>
      <c r="K180" s="43" t="s">
        <v>71</v>
      </c>
      <c r="L180" s="45">
        <v>178.2</v>
      </c>
      <c r="M180" s="43" t="s">
        <v>721</v>
      </c>
      <c r="N180" s="43">
        <v>2010</v>
      </c>
      <c r="O180" s="43" t="s">
        <v>83</v>
      </c>
      <c r="P180" s="43" t="s">
        <v>126</v>
      </c>
      <c r="Q180" s="43" t="s">
        <v>624</v>
      </c>
      <c r="R180" s="43">
        <v>9</v>
      </c>
      <c r="S180" s="43" t="b">
        <v>0</v>
      </c>
      <c r="T180" s="43" t="b">
        <v>1</v>
      </c>
      <c r="U180" s="45">
        <f t="shared" si="2"/>
        <v>178.2</v>
      </c>
      <c r="V180" s="45">
        <v>0</v>
      </c>
      <c r="W180" s="45">
        <v>178.2</v>
      </c>
    </row>
    <row r="181" spans="4:23" x14ac:dyDescent="0.15">
      <c r="D181" s="40" t="s">
        <v>914</v>
      </c>
      <c r="E181" s="40" t="s">
        <v>233</v>
      </c>
      <c r="F181" s="40" t="s">
        <v>234</v>
      </c>
      <c r="G181" s="40">
        <v>100</v>
      </c>
      <c r="H181" s="41">
        <v>40513.414583333331</v>
      </c>
      <c r="I181" s="40">
        <v>1.65</v>
      </c>
      <c r="J181" s="40">
        <v>16029</v>
      </c>
      <c r="K181" s="40" t="s">
        <v>71</v>
      </c>
      <c r="L181" s="42">
        <v>165</v>
      </c>
      <c r="M181" s="40" t="s">
        <v>721</v>
      </c>
      <c r="N181" s="40">
        <v>2010</v>
      </c>
      <c r="O181" s="40" t="s">
        <v>83</v>
      </c>
      <c r="P181" s="40" t="s">
        <v>126</v>
      </c>
      <c r="Q181" s="40" t="s">
        <v>624</v>
      </c>
      <c r="R181" s="40">
        <v>9</v>
      </c>
      <c r="S181" s="40" t="b">
        <v>0</v>
      </c>
      <c r="T181" s="40" t="b">
        <v>1</v>
      </c>
      <c r="U181" s="42">
        <f t="shared" si="2"/>
        <v>165</v>
      </c>
      <c r="V181" s="42">
        <v>0</v>
      </c>
      <c r="W181" s="42">
        <v>165</v>
      </c>
    </row>
    <row r="182" spans="4:23" x14ac:dyDescent="0.15">
      <c r="D182" s="43" t="s">
        <v>914</v>
      </c>
      <c r="E182" s="43" t="s">
        <v>170</v>
      </c>
      <c r="F182" s="43" t="s">
        <v>104</v>
      </c>
      <c r="G182" s="43">
        <v>100</v>
      </c>
      <c r="H182" s="44">
        <v>40513.414583333331</v>
      </c>
      <c r="I182" s="43">
        <v>1.65</v>
      </c>
      <c r="J182" s="43">
        <v>16029</v>
      </c>
      <c r="K182" s="43" t="s">
        <v>71</v>
      </c>
      <c r="L182" s="45">
        <v>165</v>
      </c>
      <c r="M182" s="43" t="s">
        <v>721</v>
      </c>
      <c r="N182" s="43">
        <v>2010</v>
      </c>
      <c r="O182" s="43" t="s">
        <v>83</v>
      </c>
      <c r="P182" s="43" t="s">
        <v>126</v>
      </c>
      <c r="Q182" s="43" t="s">
        <v>624</v>
      </c>
      <c r="R182" s="43">
        <v>9</v>
      </c>
      <c r="S182" s="43" t="b">
        <v>0</v>
      </c>
      <c r="T182" s="43" t="b">
        <v>1</v>
      </c>
      <c r="U182" s="45">
        <f t="shared" si="2"/>
        <v>165</v>
      </c>
      <c r="V182" s="45">
        <v>0</v>
      </c>
      <c r="W182" s="45">
        <v>165</v>
      </c>
    </row>
    <row r="183" spans="4:23" x14ac:dyDescent="0.15">
      <c r="D183" s="40" t="s">
        <v>917</v>
      </c>
      <c r="E183" s="40" t="s">
        <v>179</v>
      </c>
      <c r="F183" s="40" t="s">
        <v>180</v>
      </c>
      <c r="G183" s="40">
        <v>192</v>
      </c>
      <c r="H183" s="41">
        <v>40513.415277777778</v>
      </c>
      <c r="I183" s="40">
        <v>3.82</v>
      </c>
      <c r="J183" s="40">
        <v>16029</v>
      </c>
      <c r="K183" s="40" t="s">
        <v>71</v>
      </c>
      <c r="L183" s="42">
        <v>733.43999999999994</v>
      </c>
      <c r="M183" s="40" t="s">
        <v>721</v>
      </c>
      <c r="N183" s="40">
        <v>2010</v>
      </c>
      <c r="O183" s="40" t="s">
        <v>83</v>
      </c>
      <c r="P183" s="40" t="s">
        <v>126</v>
      </c>
      <c r="Q183" s="40" t="s">
        <v>624</v>
      </c>
      <c r="R183" s="40">
        <v>9</v>
      </c>
      <c r="S183" s="40" t="b">
        <v>0</v>
      </c>
      <c r="T183" s="40" t="b">
        <v>1</v>
      </c>
      <c r="U183" s="42">
        <f t="shared" si="2"/>
        <v>733.43999999999994</v>
      </c>
      <c r="V183" s="42">
        <v>0</v>
      </c>
      <c r="W183" s="42">
        <v>733.43999999999994</v>
      </c>
    </row>
    <row r="184" spans="4:23" x14ac:dyDescent="0.15">
      <c r="D184" s="43" t="s">
        <v>917</v>
      </c>
      <c r="E184" s="43" t="s">
        <v>918</v>
      </c>
      <c r="F184" s="43" t="s">
        <v>919</v>
      </c>
      <c r="G184" s="43">
        <v>192</v>
      </c>
      <c r="H184" s="44">
        <v>40513.415277777778</v>
      </c>
      <c r="I184" s="43">
        <v>3.37</v>
      </c>
      <c r="J184" s="43">
        <v>16029</v>
      </c>
      <c r="K184" s="43" t="s">
        <v>71</v>
      </c>
      <c r="L184" s="45">
        <v>647.04</v>
      </c>
      <c r="M184" s="43" t="s">
        <v>721</v>
      </c>
      <c r="N184" s="43">
        <v>2010</v>
      </c>
      <c r="O184" s="43" t="s">
        <v>83</v>
      </c>
      <c r="P184" s="43" t="s">
        <v>126</v>
      </c>
      <c r="Q184" s="43" t="s">
        <v>624</v>
      </c>
      <c r="R184" s="43">
        <v>9</v>
      </c>
      <c r="S184" s="43" t="b">
        <v>0</v>
      </c>
      <c r="T184" s="43" t="b">
        <v>1</v>
      </c>
      <c r="U184" s="45">
        <f t="shared" si="2"/>
        <v>647.04</v>
      </c>
      <c r="V184" s="45">
        <v>0</v>
      </c>
      <c r="W184" s="45">
        <v>647.04</v>
      </c>
    </row>
    <row r="185" spans="4:23" x14ac:dyDescent="0.15">
      <c r="D185" s="40" t="s">
        <v>917</v>
      </c>
      <c r="E185" s="40" t="s">
        <v>920</v>
      </c>
      <c r="F185" s="40" t="s">
        <v>921</v>
      </c>
      <c r="G185" s="40">
        <v>192</v>
      </c>
      <c r="H185" s="41">
        <v>40513.415277777778</v>
      </c>
      <c r="I185" s="40">
        <v>3.37</v>
      </c>
      <c r="J185" s="40">
        <v>16029</v>
      </c>
      <c r="K185" s="40" t="s">
        <v>71</v>
      </c>
      <c r="L185" s="42">
        <v>647.04</v>
      </c>
      <c r="M185" s="40" t="s">
        <v>721</v>
      </c>
      <c r="N185" s="40">
        <v>2010</v>
      </c>
      <c r="O185" s="40" t="s">
        <v>83</v>
      </c>
      <c r="P185" s="40" t="s">
        <v>126</v>
      </c>
      <c r="Q185" s="40" t="s">
        <v>624</v>
      </c>
      <c r="R185" s="40">
        <v>9</v>
      </c>
      <c r="S185" s="40" t="b">
        <v>0</v>
      </c>
      <c r="T185" s="40" t="b">
        <v>1</v>
      </c>
      <c r="U185" s="42">
        <f t="shared" si="2"/>
        <v>647.04</v>
      </c>
      <c r="V185" s="42">
        <v>0</v>
      </c>
      <c r="W185" s="42">
        <v>647.04</v>
      </c>
    </row>
    <row r="186" spans="4:23" x14ac:dyDescent="0.15">
      <c r="D186" s="43" t="s">
        <v>917</v>
      </c>
      <c r="E186" s="43" t="s">
        <v>922</v>
      </c>
      <c r="F186" s="43" t="s">
        <v>923</v>
      </c>
      <c r="G186" s="43">
        <v>432</v>
      </c>
      <c r="H186" s="44">
        <v>40513.415277777778</v>
      </c>
      <c r="I186" s="43">
        <v>1.45</v>
      </c>
      <c r="J186" s="43">
        <v>16029</v>
      </c>
      <c r="K186" s="43" t="s">
        <v>71</v>
      </c>
      <c r="L186" s="45">
        <v>626.4</v>
      </c>
      <c r="M186" s="43" t="s">
        <v>721</v>
      </c>
      <c r="N186" s="43">
        <v>2010</v>
      </c>
      <c r="O186" s="43" t="s">
        <v>83</v>
      </c>
      <c r="P186" s="43" t="s">
        <v>126</v>
      </c>
      <c r="Q186" s="43" t="s">
        <v>624</v>
      </c>
      <c r="R186" s="43">
        <v>9</v>
      </c>
      <c r="S186" s="43" t="b">
        <v>0</v>
      </c>
      <c r="T186" s="43" t="b">
        <v>1</v>
      </c>
      <c r="U186" s="45">
        <f t="shared" si="2"/>
        <v>626.4</v>
      </c>
      <c r="V186" s="45">
        <v>0</v>
      </c>
      <c r="W186" s="45">
        <v>626.4</v>
      </c>
    </row>
    <row r="187" spans="4:23" x14ac:dyDescent="0.15">
      <c r="D187" s="40" t="s">
        <v>917</v>
      </c>
      <c r="E187" s="40" t="s">
        <v>273</v>
      </c>
      <c r="F187" s="40" t="s">
        <v>274</v>
      </c>
      <c r="G187" s="40">
        <v>432</v>
      </c>
      <c r="H187" s="41">
        <v>40513.415277777778</v>
      </c>
      <c r="I187" s="40">
        <v>1.25</v>
      </c>
      <c r="J187" s="40">
        <v>16029</v>
      </c>
      <c r="K187" s="40" t="s">
        <v>71</v>
      </c>
      <c r="L187" s="42">
        <v>540</v>
      </c>
      <c r="M187" s="40" t="s">
        <v>721</v>
      </c>
      <c r="N187" s="40">
        <v>2010</v>
      </c>
      <c r="O187" s="40" t="s">
        <v>83</v>
      </c>
      <c r="P187" s="40" t="s">
        <v>126</v>
      </c>
      <c r="Q187" s="40" t="s">
        <v>624</v>
      </c>
      <c r="R187" s="40">
        <v>9</v>
      </c>
      <c r="S187" s="40" t="b">
        <v>0</v>
      </c>
      <c r="T187" s="40" t="b">
        <v>1</v>
      </c>
      <c r="U187" s="42">
        <f t="shared" si="2"/>
        <v>540</v>
      </c>
      <c r="V187" s="42">
        <v>0</v>
      </c>
      <c r="W187" s="42">
        <v>540</v>
      </c>
    </row>
    <row r="188" spans="4:23" x14ac:dyDescent="0.15">
      <c r="D188" s="43" t="s">
        <v>924</v>
      </c>
      <c r="E188" s="43" t="s">
        <v>381</v>
      </c>
      <c r="F188" s="43" t="s">
        <v>382</v>
      </c>
      <c r="G188" s="43">
        <v>3</v>
      </c>
      <c r="H188" s="44">
        <v>40513.415972222218</v>
      </c>
      <c r="I188" s="43">
        <v>5.95</v>
      </c>
      <c r="J188" s="43">
        <v>16250</v>
      </c>
      <c r="K188" s="43" t="s">
        <v>71</v>
      </c>
      <c r="L188" s="45">
        <v>17.850000000000001</v>
      </c>
      <c r="M188" s="43" t="s">
        <v>721</v>
      </c>
      <c r="N188" s="43">
        <v>2010</v>
      </c>
      <c r="O188" s="43" t="s">
        <v>83</v>
      </c>
      <c r="P188" s="43" t="s">
        <v>126</v>
      </c>
      <c r="Q188" s="43" t="s">
        <v>624</v>
      </c>
      <c r="R188" s="43">
        <v>9</v>
      </c>
      <c r="S188" s="43" t="b">
        <v>0</v>
      </c>
      <c r="T188" s="43" t="b">
        <v>1</v>
      </c>
      <c r="U188" s="45">
        <f t="shared" si="2"/>
        <v>17.850000000000001</v>
      </c>
      <c r="V188" s="45">
        <v>0</v>
      </c>
      <c r="W188" s="45">
        <v>17.850000000000001</v>
      </c>
    </row>
    <row r="189" spans="4:23" x14ac:dyDescent="0.15">
      <c r="D189" s="40" t="s">
        <v>924</v>
      </c>
      <c r="E189" s="40" t="s">
        <v>481</v>
      </c>
      <c r="F189" s="40" t="s">
        <v>482</v>
      </c>
      <c r="G189" s="40">
        <v>3</v>
      </c>
      <c r="H189" s="41">
        <v>40513.415972222218</v>
      </c>
      <c r="I189" s="40">
        <v>5.95</v>
      </c>
      <c r="J189" s="40">
        <v>16250</v>
      </c>
      <c r="K189" s="40" t="s">
        <v>71</v>
      </c>
      <c r="L189" s="42">
        <v>17.850000000000001</v>
      </c>
      <c r="M189" s="40" t="s">
        <v>721</v>
      </c>
      <c r="N189" s="40">
        <v>2010</v>
      </c>
      <c r="O189" s="40" t="s">
        <v>83</v>
      </c>
      <c r="P189" s="40" t="s">
        <v>126</v>
      </c>
      <c r="Q189" s="40" t="s">
        <v>624</v>
      </c>
      <c r="R189" s="40">
        <v>9</v>
      </c>
      <c r="S189" s="40" t="b">
        <v>0</v>
      </c>
      <c r="T189" s="40" t="b">
        <v>1</v>
      </c>
      <c r="U189" s="42">
        <f t="shared" si="2"/>
        <v>17.850000000000001</v>
      </c>
      <c r="V189" s="42">
        <v>0</v>
      </c>
      <c r="W189" s="42">
        <v>17.850000000000001</v>
      </c>
    </row>
    <row r="190" spans="4:23" x14ac:dyDescent="0.15">
      <c r="D190" s="43" t="s">
        <v>924</v>
      </c>
      <c r="E190" s="43" t="s">
        <v>319</v>
      </c>
      <c r="F190" s="43" t="s">
        <v>320</v>
      </c>
      <c r="G190" s="43">
        <v>2</v>
      </c>
      <c r="H190" s="44">
        <v>40513.415972222218</v>
      </c>
      <c r="I190" s="43">
        <v>7.95</v>
      </c>
      <c r="J190" s="43">
        <v>16250</v>
      </c>
      <c r="K190" s="43" t="s">
        <v>71</v>
      </c>
      <c r="L190" s="45">
        <v>15.9</v>
      </c>
      <c r="M190" s="43" t="s">
        <v>721</v>
      </c>
      <c r="N190" s="43">
        <v>2010</v>
      </c>
      <c r="O190" s="43" t="s">
        <v>83</v>
      </c>
      <c r="P190" s="43" t="s">
        <v>126</v>
      </c>
      <c r="Q190" s="43" t="s">
        <v>624</v>
      </c>
      <c r="R190" s="43">
        <v>9</v>
      </c>
      <c r="S190" s="43" t="b">
        <v>0</v>
      </c>
      <c r="T190" s="43" t="b">
        <v>1</v>
      </c>
      <c r="U190" s="45">
        <f t="shared" si="2"/>
        <v>15.9</v>
      </c>
      <c r="V190" s="45">
        <v>0</v>
      </c>
      <c r="W190" s="45">
        <v>15.9</v>
      </c>
    </row>
    <row r="191" spans="4:23" x14ac:dyDescent="0.15">
      <c r="D191" s="40" t="s">
        <v>924</v>
      </c>
      <c r="E191" s="40" t="s">
        <v>925</v>
      </c>
      <c r="F191" s="40" t="s">
        <v>926</v>
      </c>
      <c r="G191" s="40">
        <v>3</v>
      </c>
      <c r="H191" s="41">
        <v>40513.415972222218</v>
      </c>
      <c r="I191" s="40">
        <v>4.95</v>
      </c>
      <c r="J191" s="40">
        <v>16250</v>
      </c>
      <c r="K191" s="40" t="s">
        <v>71</v>
      </c>
      <c r="L191" s="42">
        <v>14.85</v>
      </c>
      <c r="M191" s="40" t="s">
        <v>721</v>
      </c>
      <c r="N191" s="40">
        <v>2010</v>
      </c>
      <c r="O191" s="40" t="s">
        <v>83</v>
      </c>
      <c r="P191" s="40" t="s">
        <v>126</v>
      </c>
      <c r="Q191" s="40" t="s">
        <v>624</v>
      </c>
      <c r="R191" s="40">
        <v>9</v>
      </c>
      <c r="S191" s="40" t="b">
        <v>0</v>
      </c>
      <c r="T191" s="40" t="b">
        <v>1</v>
      </c>
      <c r="U191" s="42">
        <f t="shared" si="2"/>
        <v>14.85</v>
      </c>
      <c r="V191" s="42">
        <v>0</v>
      </c>
      <c r="W191" s="42">
        <v>14.85</v>
      </c>
    </row>
    <row r="192" spans="4:23" x14ac:dyDescent="0.15">
      <c r="D192" s="43" t="s">
        <v>924</v>
      </c>
      <c r="E192" s="43" t="s">
        <v>927</v>
      </c>
      <c r="F192" s="43" t="s">
        <v>928</v>
      </c>
      <c r="G192" s="43">
        <v>3</v>
      </c>
      <c r="H192" s="44">
        <v>40513.415972222218</v>
      </c>
      <c r="I192" s="43">
        <v>4.25</v>
      </c>
      <c r="J192" s="43">
        <v>16250</v>
      </c>
      <c r="K192" s="43" t="s">
        <v>71</v>
      </c>
      <c r="L192" s="45">
        <v>12.75</v>
      </c>
      <c r="M192" s="43" t="s">
        <v>721</v>
      </c>
      <c r="N192" s="43">
        <v>2010</v>
      </c>
      <c r="O192" s="43" t="s">
        <v>83</v>
      </c>
      <c r="P192" s="43" t="s">
        <v>126</v>
      </c>
      <c r="Q192" s="43" t="s">
        <v>624</v>
      </c>
      <c r="R192" s="43">
        <v>9</v>
      </c>
      <c r="S192" s="43" t="b">
        <v>0</v>
      </c>
      <c r="T192" s="43" t="b">
        <v>1</v>
      </c>
      <c r="U192" s="45">
        <f t="shared" si="2"/>
        <v>12.75</v>
      </c>
      <c r="V192" s="45">
        <v>0</v>
      </c>
      <c r="W192" s="45">
        <v>12.75</v>
      </c>
    </row>
    <row r="193" spans="4:23" x14ac:dyDescent="0.15">
      <c r="D193" s="40" t="s">
        <v>924</v>
      </c>
      <c r="E193" s="40" t="s">
        <v>929</v>
      </c>
      <c r="F193" s="40" t="s">
        <v>930</v>
      </c>
      <c r="G193" s="40">
        <v>6</v>
      </c>
      <c r="H193" s="41">
        <v>40513.415972222218</v>
      </c>
      <c r="I193" s="40">
        <v>2.95</v>
      </c>
      <c r="J193" s="40">
        <v>16250</v>
      </c>
      <c r="K193" s="40" t="s">
        <v>71</v>
      </c>
      <c r="L193" s="42">
        <v>17.7</v>
      </c>
      <c r="M193" s="40" t="s">
        <v>721</v>
      </c>
      <c r="N193" s="40">
        <v>2010</v>
      </c>
      <c r="O193" s="40" t="s">
        <v>83</v>
      </c>
      <c r="P193" s="40" t="s">
        <v>126</v>
      </c>
      <c r="Q193" s="40" t="s">
        <v>624</v>
      </c>
      <c r="R193" s="40">
        <v>9</v>
      </c>
      <c r="S193" s="40" t="b">
        <v>0</v>
      </c>
      <c r="T193" s="40" t="b">
        <v>1</v>
      </c>
      <c r="U193" s="42">
        <f t="shared" si="2"/>
        <v>17.7</v>
      </c>
      <c r="V193" s="42">
        <v>0</v>
      </c>
      <c r="W193" s="42">
        <v>17.7</v>
      </c>
    </row>
    <row r="194" spans="4:23" x14ac:dyDescent="0.15">
      <c r="D194" s="43" t="s">
        <v>924</v>
      </c>
      <c r="E194" s="43" t="s">
        <v>897</v>
      </c>
      <c r="F194" s="43" t="s">
        <v>898</v>
      </c>
      <c r="G194" s="43">
        <v>12</v>
      </c>
      <c r="H194" s="44">
        <v>40513.415972222218</v>
      </c>
      <c r="I194" s="43">
        <v>1.65</v>
      </c>
      <c r="J194" s="43">
        <v>16250</v>
      </c>
      <c r="K194" s="43" t="s">
        <v>71</v>
      </c>
      <c r="L194" s="45">
        <v>19.8</v>
      </c>
      <c r="M194" s="43" t="s">
        <v>721</v>
      </c>
      <c r="N194" s="43">
        <v>2010</v>
      </c>
      <c r="O194" s="43" t="s">
        <v>83</v>
      </c>
      <c r="P194" s="43" t="s">
        <v>126</v>
      </c>
      <c r="Q194" s="43" t="s">
        <v>624</v>
      </c>
      <c r="R194" s="43">
        <v>9</v>
      </c>
      <c r="S194" s="43" t="b">
        <v>0</v>
      </c>
      <c r="T194" s="43" t="b">
        <v>1</v>
      </c>
      <c r="U194" s="45">
        <f t="shared" si="2"/>
        <v>19.8</v>
      </c>
      <c r="V194" s="45">
        <v>0</v>
      </c>
      <c r="W194" s="45">
        <v>19.8</v>
      </c>
    </row>
    <row r="195" spans="4:23" x14ac:dyDescent="0.15">
      <c r="D195" s="40" t="s">
        <v>924</v>
      </c>
      <c r="E195" s="40" t="s">
        <v>931</v>
      </c>
      <c r="F195" s="40" t="s">
        <v>932</v>
      </c>
      <c r="G195" s="40">
        <v>12</v>
      </c>
      <c r="H195" s="41">
        <v>40513.415972222218</v>
      </c>
      <c r="I195" s="40">
        <v>0.42</v>
      </c>
      <c r="J195" s="40">
        <v>16250</v>
      </c>
      <c r="K195" s="40" t="s">
        <v>71</v>
      </c>
      <c r="L195" s="42">
        <v>5.04</v>
      </c>
      <c r="M195" s="40" t="s">
        <v>721</v>
      </c>
      <c r="N195" s="40">
        <v>2010</v>
      </c>
      <c r="O195" s="40" t="s">
        <v>83</v>
      </c>
      <c r="P195" s="40" t="s">
        <v>126</v>
      </c>
      <c r="Q195" s="40" t="s">
        <v>624</v>
      </c>
      <c r="R195" s="40">
        <v>9</v>
      </c>
      <c r="S195" s="40" t="b">
        <v>0</v>
      </c>
      <c r="T195" s="40" t="b">
        <v>1</v>
      </c>
      <c r="U195" s="42">
        <f t="shared" si="2"/>
        <v>5.04</v>
      </c>
      <c r="V195" s="42">
        <v>0</v>
      </c>
      <c r="W195" s="42">
        <v>5.04</v>
      </c>
    </row>
    <row r="196" spans="4:23" x14ac:dyDescent="0.15">
      <c r="D196" s="43" t="s">
        <v>924</v>
      </c>
      <c r="E196" s="43" t="s">
        <v>933</v>
      </c>
      <c r="F196" s="43" t="s">
        <v>934</v>
      </c>
      <c r="G196" s="43">
        <v>12</v>
      </c>
      <c r="H196" s="44">
        <v>40513.415972222218</v>
      </c>
      <c r="I196" s="43">
        <v>0.85</v>
      </c>
      <c r="J196" s="43">
        <v>16250</v>
      </c>
      <c r="K196" s="43" t="s">
        <v>71</v>
      </c>
      <c r="L196" s="45">
        <v>10.199999999999999</v>
      </c>
      <c r="M196" s="43" t="s">
        <v>721</v>
      </c>
      <c r="N196" s="43">
        <v>2010</v>
      </c>
      <c r="O196" s="43" t="s">
        <v>83</v>
      </c>
      <c r="P196" s="43" t="s">
        <v>126</v>
      </c>
      <c r="Q196" s="43" t="s">
        <v>624</v>
      </c>
      <c r="R196" s="43">
        <v>9</v>
      </c>
      <c r="S196" s="43" t="b">
        <v>0</v>
      </c>
      <c r="T196" s="43" t="b">
        <v>1</v>
      </c>
      <c r="U196" s="45">
        <f t="shared" si="2"/>
        <v>10.199999999999999</v>
      </c>
      <c r="V196" s="45">
        <v>0</v>
      </c>
      <c r="W196" s="45">
        <v>10.199999999999999</v>
      </c>
    </row>
    <row r="197" spans="4:23" x14ac:dyDescent="0.15">
      <c r="D197" s="40" t="s">
        <v>924</v>
      </c>
      <c r="E197" s="40" t="s">
        <v>345</v>
      </c>
      <c r="F197" s="40" t="s">
        <v>346</v>
      </c>
      <c r="G197" s="40">
        <v>12</v>
      </c>
      <c r="H197" s="41">
        <v>40513.415972222218</v>
      </c>
      <c r="I197" s="40">
        <v>1.45</v>
      </c>
      <c r="J197" s="40">
        <v>16250</v>
      </c>
      <c r="K197" s="40" t="s">
        <v>71</v>
      </c>
      <c r="L197" s="42">
        <v>17.399999999999999</v>
      </c>
      <c r="M197" s="40" t="s">
        <v>721</v>
      </c>
      <c r="N197" s="40">
        <v>2010</v>
      </c>
      <c r="O197" s="40" t="s">
        <v>83</v>
      </c>
      <c r="P197" s="40" t="s">
        <v>126</v>
      </c>
      <c r="Q197" s="40" t="s">
        <v>624</v>
      </c>
      <c r="R197" s="40">
        <v>9</v>
      </c>
      <c r="S197" s="40" t="b">
        <v>0</v>
      </c>
      <c r="T197" s="40" t="b">
        <v>1</v>
      </c>
      <c r="U197" s="42">
        <f t="shared" ref="U197:U260" si="3">IF(T197,L197,0)</f>
        <v>17.399999999999999</v>
      </c>
      <c r="V197" s="42">
        <v>0</v>
      </c>
      <c r="W197" s="42">
        <v>17.399999999999999</v>
      </c>
    </row>
    <row r="198" spans="4:23" x14ac:dyDescent="0.15">
      <c r="D198" s="43" t="s">
        <v>924</v>
      </c>
      <c r="E198" s="43" t="s">
        <v>935</v>
      </c>
      <c r="F198" s="43" t="s">
        <v>936</v>
      </c>
      <c r="G198" s="43">
        <v>12</v>
      </c>
      <c r="H198" s="44">
        <v>40513.415972222218</v>
      </c>
      <c r="I198" s="43">
        <v>0.85</v>
      </c>
      <c r="J198" s="43">
        <v>16250</v>
      </c>
      <c r="K198" s="43" t="s">
        <v>71</v>
      </c>
      <c r="L198" s="45">
        <v>10.199999999999999</v>
      </c>
      <c r="M198" s="43" t="s">
        <v>721</v>
      </c>
      <c r="N198" s="43">
        <v>2010</v>
      </c>
      <c r="O198" s="43" t="s">
        <v>83</v>
      </c>
      <c r="P198" s="43" t="s">
        <v>126</v>
      </c>
      <c r="Q198" s="43" t="s">
        <v>624</v>
      </c>
      <c r="R198" s="43">
        <v>9</v>
      </c>
      <c r="S198" s="43" t="b">
        <v>0</v>
      </c>
      <c r="T198" s="43" t="b">
        <v>1</v>
      </c>
      <c r="U198" s="45">
        <f t="shared" si="3"/>
        <v>10.199999999999999</v>
      </c>
      <c r="V198" s="45">
        <v>0</v>
      </c>
      <c r="W198" s="45">
        <v>10.199999999999999</v>
      </c>
    </row>
    <row r="199" spans="4:23" x14ac:dyDescent="0.15">
      <c r="D199" s="40" t="s">
        <v>924</v>
      </c>
      <c r="E199" s="40" t="s">
        <v>937</v>
      </c>
      <c r="F199" s="40" t="s">
        <v>938</v>
      </c>
      <c r="G199" s="40">
        <v>4</v>
      </c>
      <c r="H199" s="41">
        <v>40513.415972222218</v>
      </c>
      <c r="I199" s="40">
        <v>6.75</v>
      </c>
      <c r="J199" s="40">
        <v>16250</v>
      </c>
      <c r="K199" s="40" t="s">
        <v>71</v>
      </c>
      <c r="L199" s="42">
        <v>27</v>
      </c>
      <c r="M199" s="40" t="s">
        <v>721</v>
      </c>
      <c r="N199" s="40">
        <v>2010</v>
      </c>
      <c r="O199" s="40" t="s">
        <v>83</v>
      </c>
      <c r="P199" s="40" t="s">
        <v>126</v>
      </c>
      <c r="Q199" s="40" t="s">
        <v>624</v>
      </c>
      <c r="R199" s="40">
        <v>9</v>
      </c>
      <c r="S199" s="40" t="b">
        <v>0</v>
      </c>
      <c r="T199" s="40" t="b">
        <v>1</v>
      </c>
      <c r="U199" s="42">
        <f t="shared" si="3"/>
        <v>27</v>
      </c>
      <c r="V199" s="42">
        <v>0</v>
      </c>
      <c r="W199" s="42">
        <v>27</v>
      </c>
    </row>
    <row r="200" spans="4:23" x14ac:dyDescent="0.15">
      <c r="D200" s="43" t="s">
        <v>924</v>
      </c>
      <c r="E200" s="43" t="s">
        <v>211</v>
      </c>
      <c r="F200" s="43" t="s">
        <v>212</v>
      </c>
      <c r="G200" s="43">
        <v>12</v>
      </c>
      <c r="H200" s="44">
        <v>40513.415972222218</v>
      </c>
      <c r="I200" s="43">
        <v>1.65</v>
      </c>
      <c r="J200" s="43">
        <v>16250</v>
      </c>
      <c r="K200" s="43" t="s">
        <v>71</v>
      </c>
      <c r="L200" s="45">
        <v>19.8</v>
      </c>
      <c r="M200" s="43" t="s">
        <v>721</v>
      </c>
      <c r="N200" s="43">
        <v>2010</v>
      </c>
      <c r="O200" s="43" t="s">
        <v>83</v>
      </c>
      <c r="P200" s="43" t="s">
        <v>126</v>
      </c>
      <c r="Q200" s="43" t="s">
        <v>624</v>
      </c>
      <c r="R200" s="43">
        <v>9</v>
      </c>
      <c r="S200" s="43" t="b">
        <v>0</v>
      </c>
      <c r="T200" s="43" t="b">
        <v>1</v>
      </c>
      <c r="U200" s="45">
        <f t="shared" si="3"/>
        <v>19.8</v>
      </c>
      <c r="V200" s="45">
        <v>0</v>
      </c>
      <c r="W200" s="45">
        <v>19.8</v>
      </c>
    </row>
    <row r="201" spans="4:23" x14ac:dyDescent="0.15">
      <c r="D201" s="40" t="s">
        <v>924</v>
      </c>
      <c r="E201" s="40" t="s">
        <v>939</v>
      </c>
      <c r="F201" s="40" t="s">
        <v>940</v>
      </c>
      <c r="G201" s="40">
        <v>12</v>
      </c>
      <c r="H201" s="41">
        <v>40513.415972222218</v>
      </c>
      <c r="I201" s="40">
        <v>1.65</v>
      </c>
      <c r="J201" s="40">
        <v>16250</v>
      </c>
      <c r="K201" s="40" t="s">
        <v>71</v>
      </c>
      <c r="L201" s="42">
        <v>19.8</v>
      </c>
      <c r="M201" s="40" t="s">
        <v>721</v>
      </c>
      <c r="N201" s="40">
        <v>2010</v>
      </c>
      <c r="O201" s="40" t="s">
        <v>83</v>
      </c>
      <c r="P201" s="40" t="s">
        <v>126</v>
      </c>
      <c r="Q201" s="40" t="s">
        <v>624</v>
      </c>
      <c r="R201" s="40">
        <v>9</v>
      </c>
      <c r="S201" s="40" t="b">
        <v>0</v>
      </c>
      <c r="T201" s="40" t="b">
        <v>1</v>
      </c>
      <c r="U201" s="42">
        <f t="shared" si="3"/>
        <v>19.8</v>
      </c>
      <c r="V201" s="42">
        <v>0</v>
      </c>
      <c r="W201" s="42">
        <v>19.8</v>
      </c>
    </row>
    <row r="202" spans="4:23" x14ac:dyDescent="0.15">
      <c r="D202" s="43" t="s">
        <v>941</v>
      </c>
      <c r="E202" s="43" t="s">
        <v>447</v>
      </c>
      <c r="F202" s="43" t="s">
        <v>448</v>
      </c>
      <c r="G202" s="43">
        <v>6</v>
      </c>
      <c r="H202" s="44">
        <v>40513.418749999997</v>
      </c>
      <c r="I202" s="43">
        <v>8.5</v>
      </c>
      <c r="J202" s="43">
        <v>12431</v>
      </c>
      <c r="K202" s="43" t="s">
        <v>30</v>
      </c>
      <c r="L202" s="45">
        <v>51</v>
      </c>
      <c r="M202" s="43" t="s">
        <v>721</v>
      </c>
      <c r="N202" s="43">
        <v>2010</v>
      </c>
      <c r="O202" s="43" t="s">
        <v>83</v>
      </c>
      <c r="P202" s="43" t="s">
        <v>126</v>
      </c>
      <c r="Q202" s="43" t="s">
        <v>624</v>
      </c>
      <c r="R202" s="43">
        <v>10</v>
      </c>
      <c r="S202" s="43" t="b">
        <v>0</v>
      </c>
      <c r="T202" s="43" t="b">
        <v>1</v>
      </c>
      <c r="U202" s="45">
        <f t="shared" si="3"/>
        <v>51</v>
      </c>
      <c r="V202" s="45">
        <v>0</v>
      </c>
      <c r="W202" s="45">
        <v>51</v>
      </c>
    </row>
    <row r="203" spans="4:23" x14ac:dyDescent="0.15">
      <c r="D203" s="40" t="s">
        <v>941</v>
      </c>
      <c r="E203" s="40" t="s">
        <v>942</v>
      </c>
      <c r="F203" s="40" t="s">
        <v>943</v>
      </c>
      <c r="G203" s="40">
        <v>8</v>
      </c>
      <c r="H203" s="41">
        <v>40513.418749999997</v>
      </c>
      <c r="I203" s="40">
        <v>4.95</v>
      </c>
      <c r="J203" s="40">
        <v>12431</v>
      </c>
      <c r="K203" s="40" t="s">
        <v>30</v>
      </c>
      <c r="L203" s="42">
        <v>39.6</v>
      </c>
      <c r="M203" s="40" t="s">
        <v>721</v>
      </c>
      <c r="N203" s="40">
        <v>2010</v>
      </c>
      <c r="O203" s="40" t="s">
        <v>83</v>
      </c>
      <c r="P203" s="40" t="s">
        <v>126</v>
      </c>
      <c r="Q203" s="40" t="s">
        <v>624</v>
      </c>
      <c r="R203" s="40">
        <v>10</v>
      </c>
      <c r="S203" s="40" t="b">
        <v>0</v>
      </c>
      <c r="T203" s="40" t="b">
        <v>1</v>
      </c>
      <c r="U203" s="42">
        <f t="shared" si="3"/>
        <v>39.6</v>
      </c>
      <c r="V203" s="42">
        <v>0</v>
      </c>
      <c r="W203" s="42">
        <v>39.6</v>
      </c>
    </row>
    <row r="204" spans="4:23" x14ac:dyDescent="0.15">
      <c r="D204" s="43" t="s">
        <v>941</v>
      </c>
      <c r="E204" s="43" t="s">
        <v>765</v>
      </c>
      <c r="F204" s="43" t="s">
        <v>766</v>
      </c>
      <c r="G204" s="43">
        <v>12</v>
      </c>
      <c r="H204" s="44">
        <v>40513.418749999997</v>
      </c>
      <c r="I204" s="43">
        <v>1.25</v>
      </c>
      <c r="J204" s="43">
        <v>12431</v>
      </c>
      <c r="K204" s="43" t="s">
        <v>30</v>
      </c>
      <c r="L204" s="45">
        <v>15</v>
      </c>
      <c r="M204" s="43" t="s">
        <v>721</v>
      </c>
      <c r="N204" s="43">
        <v>2010</v>
      </c>
      <c r="O204" s="43" t="s">
        <v>83</v>
      </c>
      <c r="P204" s="43" t="s">
        <v>126</v>
      </c>
      <c r="Q204" s="43" t="s">
        <v>624</v>
      </c>
      <c r="R204" s="43">
        <v>10</v>
      </c>
      <c r="S204" s="43" t="b">
        <v>0</v>
      </c>
      <c r="T204" s="43" t="b">
        <v>1</v>
      </c>
      <c r="U204" s="45">
        <f t="shared" si="3"/>
        <v>15</v>
      </c>
      <c r="V204" s="45">
        <v>0</v>
      </c>
      <c r="W204" s="45">
        <v>15</v>
      </c>
    </row>
    <row r="205" spans="4:23" x14ac:dyDescent="0.15">
      <c r="D205" s="40" t="s">
        <v>941</v>
      </c>
      <c r="E205" s="40" t="s">
        <v>892</v>
      </c>
      <c r="F205" s="40" t="s">
        <v>893</v>
      </c>
      <c r="G205" s="40">
        <v>6</v>
      </c>
      <c r="H205" s="41">
        <v>40513.418749999997</v>
      </c>
      <c r="I205" s="40">
        <v>5.45</v>
      </c>
      <c r="J205" s="40">
        <v>12431</v>
      </c>
      <c r="K205" s="40" t="s">
        <v>30</v>
      </c>
      <c r="L205" s="42">
        <v>32.700000000000003</v>
      </c>
      <c r="M205" s="40" t="s">
        <v>721</v>
      </c>
      <c r="N205" s="40">
        <v>2010</v>
      </c>
      <c r="O205" s="40" t="s">
        <v>83</v>
      </c>
      <c r="P205" s="40" t="s">
        <v>126</v>
      </c>
      <c r="Q205" s="40" t="s">
        <v>624</v>
      </c>
      <c r="R205" s="40">
        <v>10</v>
      </c>
      <c r="S205" s="40" t="b">
        <v>0</v>
      </c>
      <c r="T205" s="40" t="b">
        <v>1</v>
      </c>
      <c r="U205" s="42">
        <f t="shared" si="3"/>
        <v>32.700000000000003</v>
      </c>
      <c r="V205" s="42">
        <v>0</v>
      </c>
      <c r="W205" s="42">
        <v>32.700000000000003</v>
      </c>
    </row>
    <row r="206" spans="4:23" x14ac:dyDescent="0.15">
      <c r="D206" s="43" t="s">
        <v>941</v>
      </c>
      <c r="E206" s="43" t="s">
        <v>944</v>
      </c>
      <c r="F206" s="43" t="s">
        <v>945</v>
      </c>
      <c r="G206" s="43">
        <v>4</v>
      </c>
      <c r="H206" s="44">
        <v>40513.418749999997</v>
      </c>
      <c r="I206" s="43">
        <v>6.35</v>
      </c>
      <c r="J206" s="43">
        <v>12431</v>
      </c>
      <c r="K206" s="43" t="s">
        <v>30</v>
      </c>
      <c r="L206" s="45">
        <v>25.4</v>
      </c>
      <c r="M206" s="43" t="s">
        <v>721</v>
      </c>
      <c r="N206" s="43">
        <v>2010</v>
      </c>
      <c r="O206" s="43" t="s">
        <v>83</v>
      </c>
      <c r="P206" s="43" t="s">
        <v>126</v>
      </c>
      <c r="Q206" s="43" t="s">
        <v>624</v>
      </c>
      <c r="R206" s="43">
        <v>10</v>
      </c>
      <c r="S206" s="43" t="b">
        <v>0</v>
      </c>
      <c r="T206" s="43" t="b">
        <v>1</v>
      </c>
      <c r="U206" s="45">
        <f t="shared" si="3"/>
        <v>25.4</v>
      </c>
      <c r="V206" s="45">
        <v>0</v>
      </c>
      <c r="W206" s="45">
        <v>25.4</v>
      </c>
    </row>
    <row r="207" spans="4:23" x14ac:dyDescent="0.15">
      <c r="D207" s="40" t="s">
        <v>941</v>
      </c>
      <c r="E207" s="40" t="s">
        <v>946</v>
      </c>
      <c r="F207" s="40" t="s">
        <v>947</v>
      </c>
      <c r="G207" s="40">
        <v>6</v>
      </c>
      <c r="H207" s="41">
        <v>40513.418749999997</v>
      </c>
      <c r="I207" s="40">
        <v>5.95</v>
      </c>
      <c r="J207" s="40">
        <v>12431</v>
      </c>
      <c r="K207" s="40" t="s">
        <v>30</v>
      </c>
      <c r="L207" s="42">
        <v>35.700000000000003</v>
      </c>
      <c r="M207" s="40" t="s">
        <v>721</v>
      </c>
      <c r="N207" s="40">
        <v>2010</v>
      </c>
      <c r="O207" s="40" t="s">
        <v>83</v>
      </c>
      <c r="P207" s="40" t="s">
        <v>126</v>
      </c>
      <c r="Q207" s="40" t="s">
        <v>624</v>
      </c>
      <c r="R207" s="40">
        <v>10</v>
      </c>
      <c r="S207" s="40" t="b">
        <v>0</v>
      </c>
      <c r="T207" s="40" t="b">
        <v>1</v>
      </c>
      <c r="U207" s="42">
        <f t="shared" si="3"/>
        <v>35.700000000000003</v>
      </c>
      <c r="V207" s="42">
        <v>0</v>
      </c>
      <c r="W207" s="42">
        <v>35.700000000000003</v>
      </c>
    </row>
    <row r="208" spans="4:23" x14ac:dyDescent="0.15">
      <c r="D208" s="43" t="s">
        <v>941</v>
      </c>
      <c r="E208" s="43" t="s">
        <v>948</v>
      </c>
      <c r="F208" s="43" t="s">
        <v>949</v>
      </c>
      <c r="G208" s="43">
        <v>3</v>
      </c>
      <c r="H208" s="44">
        <v>40513.418749999997</v>
      </c>
      <c r="I208" s="43">
        <v>5.95</v>
      </c>
      <c r="J208" s="43">
        <v>12431</v>
      </c>
      <c r="K208" s="43" t="s">
        <v>30</v>
      </c>
      <c r="L208" s="45">
        <v>17.850000000000001</v>
      </c>
      <c r="M208" s="43" t="s">
        <v>721</v>
      </c>
      <c r="N208" s="43">
        <v>2010</v>
      </c>
      <c r="O208" s="43" t="s">
        <v>83</v>
      </c>
      <c r="P208" s="43" t="s">
        <v>126</v>
      </c>
      <c r="Q208" s="43" t="s">
        <v>624</v>
      </c>
      <c r="R208" s="43">
        <v>10</v>
      </c>
      <c r="S208" s="43" t="b">
        <v>0</v>
      </c>
      <c r="T208" s="43" t="b">
        <v>1</v>
      </c>
      <c r="U208" s="45">
        <f t="shared" si="3"/>
        <v>17.850000000000001</v>
      </c>
      <c r="V208" s="45">
        <v>0</v>
      </c>
      <c r="W208" s="45">
        <v>17.850000000000001</v>
      </c>
    </row>
    <row r="209" spans="4:23" x14ac:dyDescent="0.15">
      <c r="D209" s="40" t="s">
        <v>941</v>
      </c>
      <c r="E209" s="40" t="s">
        <v>517</v>
      </c>
      <c r="F209" s="40" t="s">
        <v>518</v>
      </c>
      <c r="G209" s="40">
        <v>2</v>
      </c>
      <c r="H209" s="41">
        <v>40513.418749999997</v>
      </c>
      <c r="I209" s="40">
        <v>8.5</v>
      </c>
      <c r="J209" s="40">
        <v>12431</v>
      </c>
      <c r="K209" s="40" t="s">
        <v>30</v>
      </c>
      <c r="L209" s="42">
        <v>17</v>
      </c>
      <c r="M209" s="40" t="s">
        <v>721</v>
      </c>
      <c r="N209" s="40">
        <v>2010</v>
      </c>
      <c r="O209" s="40" t="s">
        <v>83</v>
      </c>
      <c r="P209" s="40" t="s">
        <v>126</v>
      </c>
      <c r="Q209" s="40" t="s">
        <v>624</v>
      </c>
      <c r="R209" s="40">
        <v>10</v>
      </c>
      <c r="S209" s="40" t="b">
        <v>0</v>
      </c>
      <c r="T209" s="40" t="b">
        <v>1</v>
      </c>
      <c r="U209" s="42">
        <f t="shared" si="3"/>
        <v>17</v>
      </c>
      <c r="V209" s="42">
        <v>0</v>
      </c>
      <c r="W209" s="42">
        <v>17</v>
      </c>
    </row>
    <row r="210" spans="4:23" x14ac:dyDescent="0.15">
      <c r="D210" s="43" t="s">
        <v>941</v>
      </c>
      <c r="E210" s="43" t="s">
        <v>239</v>
      </c>
      <c r="F210" s="43" t="s">
        <v>240</v>
      </c>
      <c r="G210" s="43">
        <v>4</v>
      </c>
      <c r="H210" s="44">
        <v>40513.418749999997</v>
      </c>
      <c r="I210" s="43">
        <v>3.75</v>
      </c>
      <c r="J210" s="43">
        <v>12431</v>
      </c>
      <c r="K210" s="43" t="s">
        <v>30</v>
      </c>
      <c r="L210" s="45">
        <v>15</v>
      </c>
      <c r="M210" s="43" t="s">
        <v>721</v>
      </c>
      <c r="N210" s="43">
        <v>2010</v>
      </c>
      <c r="O210" s="43" t="s">
        <v>83</v>
      </c>
      <c r="P210" s="43" t="s">
        <v>126</v>
      </c>
      <c r="Q210" s="43" t="s">
        <v>624</v>
      </c>
      <c r="R210" s="43">
        <v>10</v>
      </c>
      <c r="S210" s="43" t="b">
        <v>0</v>
      </c>
      <c r="T210" s="43" t="b">
        <v>1</v>
      </c>
      <c r="U210" s="45">
        <f t="shared" si="3"/>
        <v>15</v>
      </c>
      <c r="V210" s="45">
        <v>0</v>
      </c>
      <c r="W210" s="45">
        <v>15</v>
      </c>
    </row>
    <row r="211" spans="4:23" x14ac:dyDescent="0.15">
      <c r="D211" s="40" t="s">
        <v>941</v>
      </c>
      <c r="E211" s="40" t="s">
        <v>217</v>
      </c>
      <c r="F211" s="40" t="s">
        <v>218</v>
      </c>
      <c r="G211" s="40">
        <v>4</v>
      </c>
      <c r="H211" s="41">
        <v>40513.418749999997</v>
      </c>
      <c r="I211" s="40">
        <v>3.75</v>
      </c>
      <c r="J211" s="40">
        <v>12431</v>
      </c>
      <c r="K211" s="40" t="s">
        <v>30</v>
      </c>
      <c r="L211" s="42">
        <v>15</v>
      </c>
      <c r="M211" s="40" t="s">
        <v>721</v>
      </c>
      <c r="N211" s="40">
        <v>2010</v>
      </c>
      <c r="O211" s="40" t="s">
        <v>83</v>
      </c>
      <c r="P211" s="40" t="s">
        <v>126</v>
      </c>
      <c r="Q211" s="40" t="s">
        <v>624</v>
      </c>
      <c r="R211" s="40">
        <v>10</v>
      </c>
      <c r="S211" s="40" t="b">
        <v>0</v>
      </c>
      <c r="T211" s="40" t="b">
        <v>1</v>
      </c>
      <c r="U211" s="42">
        <f t="shared" si="3"/>
        <v>15</v>
      </c>
      <c r="V211" s="42">
        <v>0</v>
      </c>
      <c r="W211" s="42">
        <v>15</v>
      </c>
    </row>
    <row r="212" spans="4:23" x14ac:dyDescent="0.15">
      <c r="D212" s="43" t="s">
        <v>941</v>
      </c>
      <c r="E212" s="43" t="s">
        <v>950</v>
      </c>
      <c r="F212" s="43" t="s">
        <v>951</v>
      </c>
      <c r="G212" s="43">
        <v>2</v>
      </c>
      <c r="H212" s="44">
        <v>40513.418749999997</v>
      </c>
      <c r="I212" s="43">
        <v>8.5</v>
      </c>
      <c r="J212" s="43">
        <v>12431</v>
      </c>
      <c r="K212" s="43" t="s">
        <v>30</v>
      </c>
      <c r="L212" s="45">
        <v>17</v>
      </c>
      <c r="M212" s="43" t="s">
        <v>721</v>
      </c>
      <c r="N212" s="43">
        <v>2010</v>
      </c>
      <c r="O212" s="43" t="s">
        <v>83</v>
      </c>
      <c r="P212" s="43" t="s">
        <v>126</v>
      </c>
      <c r="Q212" s="43" t="s">
        <v>624</v>
      </c>
      <c r="R212" s="43">
        <v>10</v>
      </c>
      <c r="S212" s="43" t="b">
        <v>0</v>
      </c>
      <c r="T212" s="43" t="b">
        <v>1</v>
      </c>
      <c r="U212" s="45">
        <f t="shared" si="3"/>
        <v>17</v>
      </c>
      <c r="V212" s="45">
        <v>0</v>
      </c>
      <c r="W212" s="45">
        <v>17</v>
      </c>
    </row>
    <row r="213" spans="4:23" x14ac:dyDescent="0.15">
      <c r="D213" s="40" t="s">
        <v>941</v>
      </c>
      <c r="E213" s="40" t="s">
        <v>507</v>
      </c>
      <c r="F213" s="40" t="s">
        <v>508</v>
      </c>
      <c r="G213" s="40">
        <v>2</v>
      </c>
      <c r="H213" s="41">
        <v>40513.418749999997</v>
      </c>
      <c r="I213" s="40">
        <v>8.5</v>
      </c>
      <c r="J213" s="40">
        <v>12431</v>
      </c>
      <c r="K213" s="40" t="s">
        <v>30</v>
      </c>
      <c r="L213" s="42">
        <v>17</v>
      </c>
      <c r="M213" s="40" t="s">
        <v>721</v>
      </c>
      <c r="N213" s="40">
        <v>2010</v>
      </c>
      <c r="O213" s="40" t="s">
        <v>83</v>
      </c>
      <c r="P213" s="40" t="s">
        <v>126</v>
      </c>
      <c r="Q213" s="40" t="s">
        <v>624</v>
      </c>
      <c r="R213" s="40">
        <v>10</v>
      </c>
      <c r="S213" s="40" t="b">
        <v>0</v>
      </c>
      <c r="T213" s="40" t="b">
        <v>1</v>
      </c>
      <c r="U213" s="42">
        <f t="shared" si="3"/>
        <v>17</v>
      </c>
      <c r="V213" s="42">
        <v>0</v>
      </c>
      <c r="W213" s="42">
        <v>17</v>
      </c>
    </row>
    <row r="214" spans="4:23" x14ac:dyDescent="0.15">
      <c r="D214" s="43" t="s">
        <v>941</v>
      </c>
      <c r="E214" s="43" t="s">
        <v>952</v>
      </c>
      <c r="F214" s="43" t="s">
        <v>953</v>
      </c>
      <c r="G214" s="43">
        <v>24</v>
      </c>
      <c r="H214" s="44">
        <v>40513.418749999997</v>
      </c>
      <c r="I214" s="43">
        <v>1.65</v>
      </c>
      <c r="J214" s="43">
        <v>12431</v>
      </c>
      <c r="K214" s="43" t="s">
        <v>30</v>
      </c>
      <c r="L214" s="45">
        <v>39.599999999999987</v>
      </c>
      <c r="M214" s="43" t="s">
        <v>721</v>
      </c>
      <c r="N214" s="43">
        <v>2010</v>
      </c>
      <c r="O214" s="43" t="s">
        <v>83</v>
      </c>
      <c r="P214" s="43" t="s">
        <v>126</v>
      </c>
      <c r="Q214" s="43" t="s">
        <v>624</v>
      </c>
      <c r="R214" s="43">
        <v>10</v>
      </c>
      <c r="S214" s="43" t="b">
        <v>0</v>
      </c>
      <c r="T214" s="43" t="b">
        <v>1</v>
      </c>
      <c r="U214" s="45">
        <f t="shared" si="3"/>
        <v>39.599999999999987</v>
      </c>
      <c r="V214" s="45">
        <v>0</v>
      </c>
      <c r="W214" s="45">
        <v>39.599999999999987</v>
      </c>
    </row>
    <row r="215" spans="4:23" x14ac:dyDescent="0.15">
      <c r="D215" s="40" t="s">
        <v>941</v>
      </c>
      <c r="E215" s="40" t="s">
        <v>954</v>
      </c>
      <c r="F215" s="40" t="s">
        <v>955</v>
      </c>
      <c r="G215" s="40">
        <v>24</v>
      </c>
      <c r="H215" s="41">
        <v>40513.418749999997</v>
      </c>
      <c r="I215" s="40">
        <v>0.85</v>
      </c>
      <c r="J215" s="40">
        <v>12431</v>
      </c>
      <c r="K215" s="40" t="s">
        <v>30</v>
      </c>
      <c r="L215" s="42">
        <v>20.399999999999999</v>
      </c>
      <c r="M215" s="40" t="s">
        <v>721</v>
      </c>
      <c r="N215" s="40">
        <v>2010</v>
      </c>
      <c r="O215" s="40" t="s">
        <v>83</v>
      </c>
      <c r="P215" s="40" t="s">
        <v>126</v>
      </c>
      <c r="Q215" s="40" t="s">
        <v>624</v>
      </c>
      <c r="R215" s="40">
        <v>10</v>
      </c>
      <c r="S215" s="40" t="b">
        <v>0</v>
      </c>
      <c r="T215" s="40" t="b">
        <v>1</v>
      </c>
      <c r="U215" s="42">
        <f t="shared" si="3"/>
        <v>20.399999999999999</v>
      </c>
      <c r="V215" s="42">
        <v>0</v>
      </c>
      <c r="W215" s="42">
        <v>20.399999999999999</v>
      </c>
    </row>
    <row r="216" spans="4:23" x14ac:dyDescent="0.15">
      <c r="D216" s="43" t="s">
        <v>956</v>
      </c>
      <c r="E216" s="43" t="s">
        <v>447</v>
      </c>
      <c r="F216" s="43" t="s">
        <v>448</v>
      </c>
      <c r="G216" s="43">
        <v>2</v>
      </c>
      <c r="H216" s="44">
        <v>40513.429861111108</v>
      </c>
      <c r="I216" s="43">
        <v>8.5</v>
      </c>
      <c r="J216" s="43">
        <v>17511</v>
      </c>
      <c r="K216" s="43" t="s">
        <v>71</v>
      </c>
      <c r="L216" s="45">
        <v>17</v>
      </c>
      <c r="M216" s="43" t="s">
        <v>721</v>
      </c>
      <c r="N216" s="43">
        <v>2010</v>
      </c>
      <c r="O216" s="43" t="s">
        <v>83</v>
      </c>
      <c r="P216" s="43" t="s">
        <v>126</v>
      </c>
      <c r="Q216" s="43" t="s">
        <v>624</v>
      </c>
      <c r="R216" s="43">
        <v>10</v>
      </c>
      <c r="S216" s="43" t="b">
        <v>0</v>
      </c>
      <c r="T216" s="43" t="b">
        <v>1</v>
      </c>
      <c r="U216" s="45">
        <f t="shared" si="3"/>
        <v>17</v>
      </c>
      <c r="V216" s="45">
        <v>0</v>
      </c>
      <c r="W216" s="45">
        <v>17</v>
      </c>
    </row>
    <row r="217" spans="4:23" x14ac:dyDescent="0.15">
      <c r="D217" s="40" t="s">
        <v>956</v>
      </c>
      <c r="E217" s="40" t="s">
        <v>193</v>
      </c>
      <c r="F217" s="40" t="s">
        <v>194</v>
      </c>
      <c r="G217" s="40">
        <v>12</v>
      </c>
      <c r="H217" s="41">
        <v>40513.429861111108</v>
      </c>
      <c r="I217" s="40">
        <v>3.75</v>
      </c>
      <c r="J217" s="40">
        <v>17511</v>
      </c>
      <c r="K217" s="40" t="s">
        <v>71</v>
      </c>
      <c r="L217" s="42">
        <v>45</v>
      </c>
      <c r="M217" s="40" t="s">
        <v>721</v>
      </c>
      <c r="N217" s="40">
        <v>2010</v>
      </c>
      <c r="O217" s="40" t="s">
        <v>83</v>
      </c>
      <c r="P217" s="40" t="s">
        <v>126</v>
      </c>
      <c r="Q217" s="40" t="s">
        <v>624</v>
      </c>
      <c r="R217" s="40">
        <v>10</v>
      </c>
      <c r="S217" s="40" t="b">
        <v>0</v>
      </c>
      <c r="T217" s="40" t="b">
        <v>1</v>
      </c>
      <c r="U217" s="42">
        <f t="shared" si="3"/>
        <v>45</v>
      </c>
      <c r="V217" s="42">
        <v>0</v>
      </c>
      <c r="W217" s="42">
        <v>45</v>
      </c>
    </row>
    <row r="218" spans="4:23" x14ac:dyDescent="0.15">
      <c r="D218" s="43" t="s">
        <v>956</v>
      </c>
      <c r="E218" s="43" t="s">
        <v>251</v>
      </c>
      <c r="F218" s="43" t="s">
        <v>252</v>
      </c>
      <c r="G218" s="43">
        <v>12</v>
      </c>
      <c r="H218" s="44">
        <v>40513.429861111108</v>
      </c>
      <c r="I218" s="43">
        <v>1.45</v>
      </c>
      <c r="J218" s="43">
        <v>17511</v>
      </c>
      <c r="K218" s="43" t="s">
        <v>71</v>
      </c>
      <c r="L218" s="45">
        <v>17.399999999999999</v>
      </c>
      <c r="M218" s="43" t="s">
        <v>721</v>
      </c>
      <c r="N218" s="43">
        <v>2010</v>
      </c>
      <c r="O218" s="43" t="s">
        <v>83</v>
      </c>
      <c r="P218" s="43" t="s">
        <v>126</v>
      </c>
      <c r="Q218" s="43" t="s">
        <v>624</v>
      </c>
      <c r="R218" s="43">
        <v>10</v>
      </c>
      <c r="S218" s="43" t="b">
        <v>0</v>
      </c>
      <c r="T218" s="43" t="b">
        <v>1</v>
      </c>
      <c r="U218" s="45">
        <f t="shared" si="3"/>
        <v>17.399999999999999</v>
      </c>
      <c r="V218" s="45">
        <v>0</v>
      </c>
      <c r="W218" s="45">
        <v>17.399999999999999</v>
      </c>
    </row>
    <row r="219" spans="4:23" x14ac:dyDescent="0.15">
      <c r="D219" s="40" t="s">
        <v>956</v>
      </c>
      <c r="E219" s="40" t="s">
        <v>957</v>
      </c>
      <c r="F219" s="40" t="s">
        <v>958</v>
      </c>
      <c r="G219" s="40">
        <v>48</v>
      </c>
      <c r="H219" s="41">
        <v>40513.429861111108</v>
      </c>
      <c r="I219" s="40">
        <v>0.72</v>
      </c>
      <c r="J219" s="40">
        <v>17511</v>
      </c>
      <c r="K219" s="40" t="s">
        <v>71</v>
      </c>
      <c r="L219" s="42">
        <v>34.56</v>
      </c>
      <c r="M219" s="40" t="s">
        <v>721</v>
      </c>
      <c r="N219" s="40">
        <v>2010</v>
      </c>
      <c r="O219" s="40" t="s">
        <v>83</v>
      </c>
      <c r="P219" s="40" t="s">
        <v>126</v>
      </c>
      <c r="Q219" s="40" t="s">
        <v>624</v>
      </c>
      <c r="R219" s="40">
        <v>10</v>
      </c>
      <c r="S219" s="40" t="b">
        <v>0</v>
      </c>
      <c r="T219" s="40" t="b">
        <v>1</v>
      </c>
      <c r="U219" s="42">
        <f t="shared" si="3"/>
        <v>34.56</v>
      </c>
      <c r="V219" s="42">
        <v>0</v>
      </c>
      <c r="W219" s="42">
        <v>34.56</v>
      </c>
    </row>
    <row r="220" spans="4:23" x14ac:dyDescent="0.15">
      <c r="D220" s="43" t="s">
        <v>956</v>
      </c>
      <c r="E220" s="43" t="s">
        <v>959</v>
      </c>
      <c r="F220" s="43" t="s">
        <v>960</v>
      </c>
      <c r="G220" s="43">
        <v>48</v>
      </c>
      <c r="H220" s="44">
        <v>40513.429861111108</v>
      </c>
      <c r="I220" s="43">
        <v>0.72</v>
      </c>
      <c r="J220" s="43">
        <v>17511</v>
      </c>
      <c r="K220" s="43" t="s">
        <v>71</v>
      </c>
      <c r="L220" s="45">
        <v>34.56</v>
      </c>
      <c r="M220" s="43" t="s">
        <v>721</v>
      </c>
      <c r="N220" s="43">
        <v>2010</v>
      </c>
      <c r="O220" s="43" t="s">
        <v>83</v>
      </c>
      <c r="P220" s="43" t="s">
        <v>126</v>
      </c>
      <c r="Q220" s="43" t="s">
        <v>624</v>
      </c>
      <c r="R220" s="43">
        <v>10</v>
      </c>
      <c r="S220" s="43" t="b">
        <v>0</v>
      </c>
      <c r="T220" s="43" t="b">
        <v>1</v>
      </c>
      <c r="U220" s="45">
        <f t="shared" si="3"/>
        <v>34.56</v>
      </c>
      <c r="V220" s="45">
        <v>0</v>
      </c>
      <c r="W220" s="45">
        <v>34.56</v>
      </c>
    </row>
    <row r="221" spans="4:23" x14ac:dyDescent="0.15">
      <c r="D221" s="40" t="s">
        <v>956</v>
      </c>
      <c r="E221" s="40" t="s">
        <v>961</v>
      </c>
      <c r="F221" s="40" t="s">
        <v>962</v>
      </c>
      <c r="G221" s="40">
        <v>8</v>
      </c>
      <c r="H221" s="41">
        <v>40513.429861111108</v>
      </c>
      <c r="I221" s="40">
        <v>8.5</v>
      </c>
      <c r="J221" s="40">
        <v>17511</v>
      </c>
      <c r="K221" s="40" t="s">
        <v>71</v>
      </c>
      <c r="L221" s="42">
        <v>68</v>
      </c>
      <c r="M221" s="40" t="s">
        <v>721</v>
      </c>
      <c r="N221" s="40">
        <v>2010</v>
      </c>
      <c r="O221" s="40" t="s">
        <v>83</v>
      </c>
      <c r="P221" s="40" t="s">
        <v>126</v>
      </c>
      <c r="Q221" s="40" t="s">
        <v>624</v>
      </c>
      <c r="R221" s="40">
        <v>10</v>
      </c>
      <c r="S221" s="40" t="b">
        <v>0</v>
      </c>
      <c r="T221" s="40" t="b">
        <v>1</v>
      </c>
      <c r="U221" s="42">
        <f t="shared" si="3"/>
        <v>68</v>
      </c>
      <c r="V221" s="42">
        <v>0</v>
      </c>
      <c r="W221" s="42">
        <v>68</v>
      </c>
    </row>
    <row r="222" spans="4:23" x14ac:dyDescent="0.15">
      <c r="D222" s="43" t="s">
        <v>956</v>
      </c>
      <c r="E222" s="43" t="s">
        <v>963</v>
      </c>
      <c r="F222" s="43" t="s">
        <v>964</v>
      </c>
      <c r="G222" s="43">
        <v>144</v>
      </c>
      <c r="H222" s="44">
        <v>40513.429861111108</v>
      </c>
      <c r="I222" s="43">
        <v>0.64</v>
      </c>
      <c r="J222" s="43">
        <v>17511</v>
      </c>
      <c r="K222" s="43" t="s">
        <v>71</v>
      </c>
      <c r="L222" s="45">
        <v>92.16</v>
      </c>
      <c r="M222" s="43" t="s">
        <v>721</v>
      </c>
      <c r="N222" s="43">
        <v>2010</v>
      </c>
      <c r="O222" s="43" t="s">
        <v>83</v>
      </c>
      <c r="P222" s="43" t="s">
        <v>126</v>
      </c>
      <c r="Q222" s="43" t="s">
        <v>624</v>
      </c>
      <c r="R222" s="43">
        <v>10</v>
      </c>
      <c r="S222" s="43" t="b">
        <v>0</v>
      </c>
      <c r="T222" s="43" t="b">
        <v>1</v>
      </c>
      <c r="U222" s="45">
        <f t="shared" si="3"/>
        <v>92.16</v>
      </c>
      <c r="V222" s="45">
        <v>0</v>
      </c>
      <c r="W222" s="45">
        <v>92.16</v>
      </c>
    </row>
    <row r="223" spans="4:23" x14ac:dyDescent="0.15">
      <c r="D223" s="40" t="s">
        <v>956</v>
      </c>
      <c r="E223" s="40" t="s">
        <v>205</v>
      </c>
      <c r="F223" s="40" t="s">
        <v>206</v>
      </c>
      <c r="G223" s="40">
        <v>40</v>
      </c>
      <c r="H223" s="41">
        <v>40513.429861111108</v>
      </c>
      <c r="I223" s="40">
        <v>2.5499999999999998</v>
      </c>
      <c r="J223" s="40">
        <v>17511</v>
      </c>
      <c r="K223" s="40" t="s">
        <v>71</v>
      </c>
      <c r="L223" s="42">
        <v>102</v>
      </c>
      <c r="M223" s="40" t="s">
        <v>721</v>
      </c>
      <c r="N223" s="40">
        <v>2010</v>
      </c>
      <c r="O223" s="40" t="s">
        <v>83</v>
      </c>
      <c r="P223" s="40" t="s">
        <v>126</v>
      </c>
      <c r="Q223" s="40" t="s">
        <v>624</v>
      </c>
      <c r="R223" s="40">
        <v>10</v>
      </c>
      <c r="S223" s="40" t="b">
        <v>0</v>
      </c>
      <c r="T223" s="40" t="b">
        <v>1</v>
      </c>
      <c r="U223" s="42">
        <f t="shared" si="3"/>
        <v>102</v>
      </c>
      <c r="V223" s="42">
        <v>0</v>
      </c>
      <c r="W223" s="42">
        <v>102</v>
      </c>
    </row>
    <row r="224" spans="4:23" x14ac:dyDescent="0.15">
      <c r="D224" s="43" t="s">
        <v>956</v>
      </c>
      <c r="E224" s="43" t="s">
        <v>965</v>
      </c>
      <c r="F224" s="43" t="s">
        <v>966</v>
      </c>
      <c r="G224" s="43">
        <v>288</v>
      </c>
      <c r="H224" s="44">
        <v>40513.429861111108</v>
      </c>
      <c r="I224" s="43">
        <v>0.1</v>
      </c>
      <c r="J224" s="43">
        <v>17511</v>
      </c>
      <c r="K224" s="43" t="s">
        <v>71</v>
      </c>
      <c r="L224" s="45">
        <v>28.8</v>
      </c>
      <c r="M224" s="43" t="s">
        <v>721</v>
      </c>
      <c r="N224" s="43">
        <v>2010</v>
      </c>
      <c r="O224" s="43" t="s">
        <v>83</v>
      </c>
      <c r="P224" s="43" t="s">
        <v>126</v>
      </c>
      <c r="Q224" s="43" t="s">
        <v>624</v>
      </c>
      <c r="R224" s="43">
        <v>10</v>
      </c>
      <c r="S224" s="43" t="b">
        <v>0</v>
      </c>
      <c r="T224" s="43" t="b">
        <v>1</v>
      </c>
      <c r="U224" s="45">
        <f t="shared" si="3"/>
        <v>28.8</v>
      </c>
      <c r="V224" s="45">
        <v>0</v>
      </c>
      <c r="W224" s="45">
        <v>28.8</v>
      </c>
    </row>
    <row r="225" spans="4:23" x14ac:dyDescent="0.15">
      <c r="D225" s="40" t="s">
        <v>956</v>
      </c>
      <c r="E225" s="40" t="s">
        <v>168</v>
      </c>
      <c r="F225" s="40" t="s">
        <v>102</v>
      </c>
      <c r="G225" s="40">
        <v>64</v>
      </c>
      <c r="H225" s="41">
        <v>40513.429861111108</v>
      </c>
      <c r="I225" s="40">
        <v>2.5499999999999998</v>
      </c>
      <c r="J225" s="40">
        <v>17511</v>
      </c>
      <c r="K225" s="40" t="s">
        <v>71</v>
      </c>
      <c r="L225" s="42">
        <v>163.19999999999999</v>
      </c>
      <c r="M225" s="40" t="s">
        <v>721</v>
      </c>
      <c r="N225" s="40">
        <v>2010</v>
      </c>
      <c r="O225" s="40" t="s">
        <v>83</v>
      </c>
      <c r="P225" s="40" t="s">
        <v>126</v>
      </c>
      <c r="Q225" s="40" t="s">
        <v>624</v>
      </c>
      <c r="R225" s="40">
        <v>10</v>
      </c>
      <c r="S225" s="40" t="b">
        <v>0</v>
      </c>
      <c r="T225" s="40" t="b">
        <v>1</v>
      </c>
      <c r="U225" s="42">
        <f t="shared" si="3"/>
        <v>163.19999999999999</v>
      </c>
      <c r="V225" s="42">
        <v>0</v>
      </c>
      <c r="W225" s="42">
        <v>163.19999999999999</v>
      </c>
    </row>
    <row r="226" spans="4:23" x14ac:dyDescent="0.15">
      <c r="D226" s="43" t="s">
        <v>956</v>
      </c>
      <c r="E226" s="43" t="s">
        <v>199</v>
      </c>
      <c r="F226" s="43" t="s">
        <v>380</v>
      </c>
      <c r="G226" s="43">
        <v>100</v>
      </c>
      <c r="H226" s="44">
        <v>40513.429861111108</v>
      </c>
      <c r="I226" s="43">
        <v>0.72</v>
      </c>
      <c r="J226" s="43">
        <v>17511</v>
      </c>
      <c r="K226" s="43" t="s">
        <v>71</v>
      </c>
      <c r="L226" s="45">
        <v>72</v>
      </c>
      <c r="M226" s="43" t="s">
        <v>721</v>
      </c>
      <c r="N226" s="43">
        <v>2010</v>
      </c>
      <c r="O226" s="43" t="s">
        <v>83</v>
      </c>
      <c r="P226" s="43" t="s">
        <v>126</v>
      </c>
      <c r="Q226" s="43" t="s">
        <v>624</v>
      </c>
      <c r="R226" s="43">
        <v>10</v>
      </c>
      <c r="S226" s="43" t="b">
        <v>0</v>
      </c>
      <c r="T226" s="43" t="b">
        <v>1</v>
      </c>
      <c r="U226" s="45">
        <f t="shared" si="3"/>
        <v>72</v>
      </c>
      <c r="V226" s="45">
        <v>0</v>
      </c>
      <c r="W226" s="45">
        <v>72</v>
      </c>
    </row>
    <row r="227" spans="4:23" x14ac:dyDescent="0.15">
      <c r="D227" s="40" t="s">
        <v>956</v>
      </c>
      <c r="E227" s="40" t="s">
        <v>967</v>
      </c>
      <c r="F227" s="40" t="s">
        <v>968</v>
      </c>
      <c r="G227" s="40">
        <v>50</v>
      </c>
      <c r="H227" s="41">
        <v>40513.429861111108</v>
      </c>
      <c r="I227" s="40">
        <v>1.45</v>
      </c>
      <c r="J227" s="40">
        <v>17511</v>
      </c>
      <c r="K227" s="40" t="s">
        <v>71</v>
      </c>
      <c r="L227" s="42">
        <v>72.5</v>
      </c>
      <c r="M227" s="40" t="s">
        <v>721</v>
      </c>
      <c r="N227" s="40">
        <v>2010</v>
      </c>
      <c r="O227" s="40" t="s">
        <v>83</v>
      </c>
      <c r="P227" s="40" t="s">
        <v>126</v>
      </c>
      <c r="Q227" s="40" t="s">
        <v>624</v>
      </c>
      <c r="R227" s="40">
        <v>10</v>
      </c>
      <c r="S227" s="40" t="b">
        <v>0</v>
      </c>
      <c r="T227" s="40" t="b">
        <v>1</v>
      </c>
      <c r="U227" s="42">
        <f t="shared" si="3"/>
        <v>72.5</v>
      </c>
      <c r="V227" s="42">
        <v>0</v>
      </c>
      <c r="W227" s="42">
        <v>72.5</v>
      </c>
    </row>
    <row r="228" spans="4:23" x14ac:dyDescent="0.15">
      <c r="D228" s="43" t="s">
        <v>956</v>
      </c>
      <c r="E228" s="43" t="s">
        <v>857</v>
      </c>
      <c r="F228" s="43" t="s">
        <v>858</v>
      </c>
      <c r="G228" s="43">
        <v>12</v>
      </c>
      <c r="H228" s="44">
        <v>40513.429861111108</v>
      </c>
      <c r="I228" s="43">
        <v>4.25</v>
      </c>
      <c r="J228" s="43">
        <v>17511</v>
      </c>
      <c r="K228" s="43" t="s">
        <v>71</v>
      </c>
      <c r="L228" s="45">
        <v>51</v>
      </c>
      <c r="M228" s="43" t="s">
        <v>721</v>
      </c>
      <c r="N228" s="43">
        <v>2010</v>
      </c>
      <c r="O228" s="43" t="s">
        <v>83</v>
      </c>
      <c r="P228" s="43" t="s">
        <v>126</v>
      </c>
      <c r="Q228" s="43" t="s">
        <v>624</v>
      </c>
      <c r="R228" s="43">
        <v>10</v>
      </c>
      <c r="S228" s="43" t="b">
        <v>0</v>
      </c>
      <c r="T228" s="43" t="b">
        <v>1</v>
      </c>
      <c r="U228" s="45">
        <f t="shared" si="3"/>
        <v>51</v>
      </c>
      <c r="V228" s="45">
        <v>0</v>
      </c>
      <c r="W228" s="45">
        <v>51</v>
      </c>
    </row>
    <row r="229" spans="4:23" x14ac:dyDescent="0.15">
      <c r="D229" s="40" t="s">
        <v>956</v>
      </c>
      <c r="E229" s="40" t="s">
        <v>542</v>
      </c>
      <c r="F229" s="40" t="s">
        <v>543</v>
      </c>
      <c r="G229" s="40">
        <v>96</v>
      </c>
      <c r="H229" s="41">
        <v>40513.429861111108</v>
      </c>
      <c r="I229" s="40">
        <v>0.64</v>
      </c>
      <c r="J229" s="40">
        <v>17511</v>
      </c>
      <c r="K229" s="40" t="s">
        <v>71</v>
      </c>
      <c r="L229" s="42">
        <v>61.44</v>
      </c>
      <c r="M229" s="40" t="s">
        <v>721</v>
      </c>
      <c r="N229" s="40">
        <v>2010</v>
      </c>
      <c r="O229" s="40" t="s">
        <v>83</v>
      </c>
      <c r="P229" s="40" t="s">
        <v>126</v>
      </c>
      <c r="Q229" s="40" t="s">
        <v>624</v>
      </c>
      <c r="R229" s="40">
        <v>10</v>
      </c>
      <c r="S229" s="40" t="b">
        <v>0</v>
      </c>
      <c r="T229" s="40" t="b">
        <v>1</v>
      </c>
      <c r="U229" s="42">
        <f t="shared" si="3"/>
        <v>61.44</v>
      </c>
      <c r="V229" s="42">
        <v>0</v>
      </c>
      <c r="W229" s="42">
        <v>61.44</v>
      </c>
    </row>
    <row r="230" spans="4:23" x14ac:dyDescent="0.15">
      <c r="D230" s="43" t="s">
        <v>956</v>
      </c>
      <c r="E230" s="43" t="s">
        <v>805</v>
      </c>
      <c r="F230" s="43" t="s">
        <v>806</v>
      </c>
      <c r="G230" s="43">
        <v>96</v>
      </c>
      <c r="H230" s="44">
        <v>40513.429861111108</v>
      </c>
      <c r="I230" s="43">
        <v>0.64</v>
      </c>
      <c r="J230" s="43">
        <v>17511</v>
      </c>
      <c r="K230" s="43" t="s">
        <v>71</v>
      </c>
      <c r="L230" s="45">
        <v>61.44</v>
      </c>
      <c r="M230" s="43" t="s">
        <v>721</v>
      </c>
      <c r="N230" s="43">
        <v>2010</v>
      </c>
      <c r="O230" s="43" t="s">
        <v>83</v>
      </c>
      <c r="P230" s="43" t="s">
        <v>126</v>
      </c>
      <c r="Q230" s="43" t="s">
        <v>624</v>
      </c>
      <c r="R230" s="43">
        <v>10</v>
      </c>
      <c r="S230" s="43" t="b">
        <v>0</v>
      </c>
      <c r="T230" s="43" t="b">
        <v>1</v>
      </c>
      <c r="U230" s="45">
        <f t="shared" si="3"/>
        <v>61.44</v>
      </c>
      <c r="V230" s="45">
        <v>0</v>
      </c>
      <c r="W230" s="45">
        <v>61.44</v>
      </c>
    </row>
    <row r="231" spans="4:23" x14ac:dyDescent="0.15">
      <c r="D231" s="40" t="s">
        <v>956</v>
      </c>
      <c r="E231" s="40" t="s">
        <v>969</v>
      </c>
      <c r="F231" s="40" t="s">
        <v>970</v>
      </c>
      <c r="G231" s="40">
        <v>48</v>
      </c>
      <c r="H231" s="41">
        <v>40513.429861111108</v>
      </c>
      <c r="I231" s="40">
        <v>0.65</v>
      </c>
      <c r="J231" s="40">
        <v>17511</v>
      </c>
      <c r="K231" s="40" t="s">
        <v>71</v>
      </c>
      <c r="L231" s="42">
        <v>31.2</v>
      </c>
      <c r="M231" s="40" t="s">
        <v>721</v>
      </c>
      <c r="N231" s="40">
        <v>2010</v>
      </c>
      <c r="O231" s="40" t="s">
        <v>83</v>
      </c>
      <c r="P231" s="40" t="s">
        <v>126</v>
      </c>
      <c r="Q231" s="40" t="s">
        <v>624</v>
      </c>
      <c r="R231" s="40">
        <v>10</v>
      </c>
      <c r="S231" s="40" t="b">
        <v>0</v>
      </c>
      <c r="T231" s="40" t="b">
        <v>1</v>
      </c>
      <c r="U231" s="42">
        <f t="shared" si="3"/>
        <v>31.2</v>
      </c>
      <c r="V231" s="42">
        <v>0</v>
      </c>
      <c r="W231" s="42">
        <v>31.2</v>
      </c>
    </row>
    <row r="232" spans="4:23" x14ac:dyDescent="0.15">
      <c r="D232" s="43" t="s">
        <v>956</v>
      </c>
      <c r="E232" s="43" t="s">
        <v>971</v>
      </c>
      <c r="F232" s="43" t="s">
        <v>972</v>
      </c>
      <c r="G232" s="43">
        <v>144</v>
      </c>
      <c r="H232" s="44">
        <v>40513.429861111108</v>
      </c>
      <c r="I232" s="43">
        <v>0.32</v>
      </c>
      <c r="J232" s="43">
        <v>17511</v>
      </c>
      <c r="K232" s="43" t="s">
        <v>71</v>
      </c>
      <c r="L232" s="45">
        <v>46.08</v>
      </c>
      <c r="M232" s="43" t="s">
        <v>721</v>
      </c>
      <c r="N232" s="43">
        <v>2010</v>
      </c>
      <c r="O232" s="43" t="s">
        <v>83</v>
      </c>
      <c r="P232" s="43" t="s">
        <v>126</v>
      </c>
      <c r="Q232" s="43" t="s">
        <v>624</v>
      </c>
      <c r="R232" s="43">
        <v>10</v>
      </c>
      <c r="S232" s="43" t="b">
        <v>0</v>
      </c>
      <c r="T232" s="43" t="b">
        <v>1</v>
      </c>
      <c r="U232" s="45">
        <f t="shared" si="3"/>
        <v>46.08</v>
      </c>
      <c r="V232" s="45">
        <v>0</v>
      </c>
      <c r="W232" s="45">
        <v>46.08</v>
      </c>
    </row>
    <row r="233" spans="4:23" x14ac:dyDescent="0.15">
      <c r="D233" s="40" t="s">
        <v>956</v>
      </c>
      <c r="E233" s="40" t="s">
        <v>973</v>
      </c>
      <c r="F233" s="40" t="s">
        <v>974</v>
      </c>
      <c r="G233" s="40">
        <v>40</v>
      </c>
      <c r="H233" s="41">
        <v>40513.429861111108</v>
      </c>
      <c r="I233" s="40">
        <v>4.95</v>
      </c>
      <c r="J233" s="40">
        <v>17511</v>
      </c>
      <c r="K233" s="40" t="s">
        <v>71</v>
      </c>
      <c r="L233" s="42">
        <v>198</v>
      </c>
      <c r="M233" s="40" t="s">
        <v>721</v>
      </c>
      <c r="N233" s="40">
        <v>2010</v>
      </c>
      <c r="O233" s="40" t="s">
        <v>83</v>
      </c>
      <c r="P233" s="40" t="s">
        <v>126</v>
      </c>
      <c r="Q233" s="40" t="s">
        <v>624</v>
      </c>
      <c r="R233" s="40">
        <v>10</v>
      </c>
      <c r="S233" s="40" t="b">
        <v>0</v>
      </c>
      <c r="T233" s="40" t="b">
        <v>1</v>
      </c>
      <c r="U233" s="42">
        <f t="shared" si="3"/>
        <v>198</v>
      </c>
      <c r="V233" s="42">
        <v>0</v>
      </c>
      <c r="W233" s="42">
        <v>198</v>
      </c>
    </row>
    <row r="234" spans="4:23" x14ac:dyDescent="0.15">
      <c r="D234" s="43" t="s">
        <v>956</v>
      </c>
      <c r="E234" s="43" t="s">
        <v>363</v>
      </c>
      <c r="F234" s="43" t="s">
        <v>364</v>
      </c>
      <c r="G234" s="43">
        <v>24</v>
      </c>
      <c r="H234" s="44">
        <v>40513.429861111108</v>
      </c>
      <c r="I234" s="43">
        <v>4.25</v>
      </c>
      <c r="J234" s="43">
        <v>17511</v>
      </c>
      <c r="K234" s="43" t="s">
        <v>71</v>
      </c>
      <c r="L234" s="45">
        <v>102</v>
      </c>
      <c r="M234" s="43" t="s">
        <v>721</v>
      </c>
      <c r="N234" s="43">
        <v>2010</v>
      </c>
      <c r="O234" s="43" t="s">
        <v>83</v>
      </c>
      <c r="P234" s="43" t="s">
        <v>126</v>
      </c>
      <c r="Q234" s="43" t="s">
        <v>624</v>
      </c>
      <c r="R234" s="43">
        <v>10</v>
      </c>
      <c r="S234" s="43" t="b">
        <v>0</v>
      </c>
      <c r="T234" s="43" t="b">
        <v>1</v>
      </c>
      <c r="U234" s="45">
        <f t="shared" si="3"/>
        <v>102</v>
      </c>
      <c r="V234" s="45">
        <v>0</v>
      </c>
      <c r="W234" s="45">
        <v>102</v>
      </c>
    </row>
    <row r="235" spans="4:23" x14ac:dyDescent="0.15">
      <c r="D235" s="40" t="s">
        <v>956</v>
      </c>
      <c r="E235" s="40" t="s">
        <v>399</v>
      </c>
      <c r="F235" s="40" t="s">
        <v>400</v>
      </c>
      <c r="G235" s="40">
        <v>24</v>
      </c>
      <c r="H235" s="41">
        <v>40513.429861111108</v>
      </c>
      <c r="I235" s="40">
        <v>3.39</v>
      </c>
      <c r="J235" s="40">
        <v>17511</v>
      </c>
      <c r="K235" s="40" t="s">
        <v>71</v>
      </c>
      <c r="L235" s="42">
        <v>81.36</v>
      </c>
      <c r="M235" s="40" t="s">
        <v>721</v>
      </c>
      <c r="N235" s="40">
        <v>2010</v>
      </c>
      <c r="O235" s="40" t="s">
        <v>83</v>
      </c>
      <c r="P235" s="40" t="s">
        <v>126</v>
      </c>
      <c r="Q235" s="40" t="s">
        <v>624</v>
      </c>
      <c r="R235" s="40">
        <v>10</v>
      </c>
      <c r="S235" s="40" t="b">
        <v>0</v>
      </c>
      <c r="T235" s="40" t="b">
        <v>1</v>
      </c>
      <c r="U235" s="42">
        <f t="shared" si="3"/>
        <v>81.36</v>
      </c>
      <c r="V235" s="42">
        <v>0</v>
      </c>
      <c r="W235" s="42">
        <v>81.36</v>
      </c>
    </row>
    <row r="236" spans="4:23" x14ac:dyDescent="0.15">
      <c r="D236" s="43" t="s">
        <v>956</v>
      </c>
      <c r="E236" s="43" t="s">
        <v>975</v>
      </c>
      <c r="F236" s="43" t="s">
        <v>976</v>
      </c>
      <c r="G236" s="43">
        <v>24</v>
      </c>
      <c r="H236" s="44">
        <v>40513.429861111108</v>
      </c>
      <c r="I236" s="43">
        <v>3.75</v>
      </c>
      <c r="J236" s="43">
        <v>17511</v>
      </c>
      <c r="K236" s="43" t="s">
        <v>71</v>
      </c>
      <c r="L236" s="45">
        <v>90</v>
      </c>
      <c r="M236" s="43" t="s">
        <v>721</v>
      </c>
      <c r="N236" s="43">
        <v>2010</v>
      </c>
      <c r="O236" s="43" t="s">
        <v>83</v>
      </c>
      <c r="P236" s="43" t="s">
        <v>126</v>
      </c>
      <c r="Q236" s="43" t="s">
        <v>624</v>
      </c>
      <c r="R236" s="43">
        <v>10</v>
      </c>
      <c r="S236" s="43" t="b">
        <v>0</v>
      </c>
      <c r="T236" s="43" t="b">
        <v>1</v>
      </c>
      <c r="U236" s="45">
        <f t="shared" si="3"/>
        <v>90</v>
      </c>
      <c r="V236" s="45">
        <v>0</v>
      </c>
      <c r="W236" s="45">
        <v>90</v>
      </c>
    </row>
    <row r="237" spans="4:23" x14ac:dyDescent="0.15">
      <c r="D237" s="40" t="s">
        <v>956</v>
      </c>
      <c r="E237" s="40" t="s">
        <v>977</v>
      </c>
      <c r="F237" s="40" t="s">
        <v>978</v>
      </c>
      <c r="G237" s="40">
        <v>48</v>
      </c>
      <c r="H237" s="41">
        <v>40513.429861111108</v>
      </c>
      <c r="I237" s="40">
        <v>1.48</v>
      </c>
      <c r="J237" s="40">
        <v>17511</v>
      </c>
      <c r="K237" s="40" t="s">
        <v>71</v>
      </c>
      <c r="L237" s="42">
        <v>71.039999999999992</v>
      </c>
      <c r="M237" s="40" t="s">
        <v>721</v>
      </c>
      <c r="N237" s="40">
        <v>2010</v>
      </c>
      <c r="O237" s="40" t="s">
        <v>83</v>
      </c>
      <c r="P237" s="40" t="s">
        <v>126</v>
      </c>
      <c r="Q237" s="40" t="s">
        <v>624</v>
      </c>
      <c r="R237" s="40">
        <v>10</v>
      </c>
      <c r="S237" s="40" t="b">
        <v>0</v>
      </c>
      <c r="T237" s="40" t="b">
        <v>1</v>
      </c>
      <c r="U237" s="42">
        <f t="shared" si="3"/>
        <v>71.039999999999992</v>
      </c>
      <c r="V237" s="42">
        <v>0</v>
      </c>
      <c r="W237" s="42">
        <v>71.039999999999992</v>
      </c>
    </row>
    <row r="238" spans="4:23" x14ac:dyDescent="0.15">
      <c r="D238" s="43" t="s">
        <v>956</v>
      </c>
      <c r="E238" s="43" t="s">
        <v>345</v>
      </c>
      <c r="F238" s="43" t="s">
        <v>346</v>
      </c>
      <c r="G238" s="43">
        <v>96</v>
      </c>
      <c r="H238" s="44">
        <v>40513.429861111108</v>
      </c>
      <c r="I238" s="43">
        <v>1.25</v>
      </c>
      <c r="J238" s="43">
        <v>17511</v>
      </c>
      <c r="K238" s="43" t="s">
        <v>71</v>
      </c>
      <c r="L238" s="45">
        <v>120</v>
      </c>
      <c r="M238" s="43" t="s">
        <v>721</v>
      </c>
      <c r="N238" s="43">
        <v>2010</v>
      </c>
      <c r="O238" s="43" t="s">
        <v>83</v>
      </c>
      <c r="P238" s="43" t="s">
        <v>126</v>
      </c>
      <c r="Q238" s="43" t="s">
        <v>624</v>
      </c>
      <c r="R238" s="43">
        <v>10</v>
      </c>
      <c r="S238" s="43" t="b">
        <v>0</v>
      </c>
      <c r="T238" s="43" t="b">
        <v>1</v>
      </c>
      <c r="U238" s="45">
        <f t="shared" si="3"/>
        <v>120</v>
      </c>
      <c r="V238" s="45">
        <v>0</v>
      </c>
      <c r="W238" s="45">
        <v>120</v>
      </c>
    </row>
    <row r="239" spans="4:23" x14ac:dyDescent="0.15">
      <c r="D239" s="40" t="s">
        <v>956</v>
      </c>
      <c r="E239" s="40" t="s">
        <v>170</v>
      </c>
      <c r="F239" s="40" t="s">
        <v>104</v>
      </c>
      <c r="G239" s="40">
        <v>100</v>
      </c>
      <c r="H239" s="41">
        <v>40513.429861111108</v>
      </c>
      <c r="I239" s="40">
        <v>1.65</v>
      </c>
      <c r="J239" s="40">
        <v>17511</v>
      </c>
      <c r="K239" s="40" t="s">
        <v>71</v>
      </c>
      <c r="L239" s="42">
        <v>165</v>
      </c>
      <c r="M239" s="40" t="s">
        <v>721</v>
      </c>
      <c r="N239" s="40">
        <v>2010</v>
      </c>
      <c r="O239" s="40" t="s">
        <v>83</v>
      </c>
      <c r="P239" s="40" t="s">
        <v>126</v>
      </c>
      <c r="Q239" s="40" t="s">
        <v>624</v>
      </c>
      <c r="R239" s="40">
        <v>10</v>
      </c>
      <c r="S239" s="40" t="b">
        <v>0</v>
      </c>
      <c r="T239" s="40" t="b">
        <v>1</v>
      </c>
      <c r="U239" s="42">
        <f t="shared" si="3"/>
        <v>165</v>
      </c>
      <c r="V239" s="42">
        <v>0</v>
      </c>
      <c r="W239" s="42">
        <v>165</v>
      </c>
    </row>
    <row r="240" spans="4:23" x14ac:dyDescent="0.15">
      <c r="D240" s="43" t="s">
        <v>979</v>
      </c>
      <c r="E240" s="43" t="s">
        <v>980</v>
      </c>
      <c r="F240" s="43" t="s">
        <v>981</v>
      </c>
      <c r="G240" s="43">
        <v>-12</v>
      </c>
      <c r="H240" s="44">
        <v>40513.433333333327</v>
      </c>
      <c r="I240" s="43">
        <v>1.65</v>
      </c>
      <c r="J240" s="43">
        <v>17548</v>
      </c>
      <c r="K240" s="43" t="s">
        <v>71</v>
      </c>
      <c r="L240" s="45">
        <v>-19.8</v>
      </c>
      <c r="M240" s="43" t="s">
        <v>602</v>
      </c>
      <c r="N240" s="43">
        <v>2010</v>
      </c>
      <c r="O240" s="43" t="s">
        <v>83</v>
      </c>
      <c r="P240" s="43" t="s">
        <v>126</v>
      </c>
      <c r="Q240" s="43" t="s">
        <v>624</v>
      </c>
      <c r="R240" s="43">
        <v>10</v>
      </c>
      <c r="S240" s="43" t="b">
        <v>1</v>
      </c>
      <c r="T240" s="43" t="b">
        <v>0</v>
      </c>
      <c r="U240" s="45">
        <f t="shared" si="3"/>
        <v>0</v>
      </c>
      <c r="V240" s="45">
        <v>19.8</v>
      </c>
      <c r="W240" s="45">
        <v>-19.8</v>
      </c>
    </row>
    <row r="241" spans="4:23" x14ac:dyDescent="0.15">
      <c r="D241" s="40" t="s">
        <v>979</v>
      </c>
      <c r="E241" s="40" t="s">
        <v>982</v>
      </c>
      <c r="F241" s="40" t="s">
        <v>983</v>
      </c>
      <c r="G241" s="40">
        <v>-24</v>
      </c>
      <c r="H241" s="41">
        <v>40513.433333333327</v>
      </c>
      <c r="I241" s="40">
        <v>0.28999999999999998</v>
      </c>
      <c r="J241" s="40">
        <v>17548</v>
      </c>
      <c r="K241" s="40" t="s">
        <v>71</v>
      </c>
      <c r="L241" s="42">
        <v>-6.9599999999999991</v>
      </c>
      <c r="M241" s="40" t="s">
        <v>602</v>
      </c>
      <c r="N241" s="40">
        <v>2010</v>
      </c>
      <c r="O241" s="40" t="s">
        <v>83</v>
      </c>
      <c r="P241" s="40" t="s">
        <v>126</v>
      </c>
      <c r="Q241" s="40" t="s">
        <v>624</v>
      </c>
      <c r="R241" s="40">
        <v>10</v>
      </c>
      <c r="S241" s="40" t="b">
        <v>1</v>
      </c>
      <c r="T241" s="40" t="b">
        <v>0</v>
      </c>
      <c r="U241" s="42">
        <f t="shared" si="3"/>
        <v>0</v>
      </c>
      <c r="V241" s="42">
        <v>6.9599999999999991</v>
      </c>
      <c r="W241" s="42">
        <v>-6.9599999999999991</v>
      </c>
    </row>
    <row r="242" spans="4:23" x14ac:dyDescent="0.15">
      <c r="D242" s="43" t="s">
        <v>979</v>
      </c>
      <c r="E242" s="43" t="s">
        <v>984</v>
      </c>
      <c r="F242" s="43" t="s">
        <v>985</v>
      </c>
      <c r="G242" s="43">
        <v>-24</v>
      </c>
      <c r="H242" s="44">
        <v>40513.433333333327</v>
      </c>
      <c r="I242" s="43">
        <v>0.28999999999999998</v>
      </c>
      <c r="J242" s="43">
        <v>17548</v>
      </c>
      <c r="K242" s="43" t="s">
        <v>71</v>
      </c>
      <c r="L242" s="45">
        <v>-6.9599999999999991</v>
      </c>
      <c r="M242" s="43" t="s">
        <v>602</v>
      </c>
      <c r="N242" s="43">
        <v>2010</v>
      </c>
      <c r="O242" s="43" t="s">
        <v>83</v>
      </c>
      <c r="P242" s="43" t="s">
        <v>126</v>
      </c>
      <c r="Q242" s="43" t="s">
        <v>624</v>
      </c>
      <c r="R242" s="43">
        <v>10</v>
      </c>
      <c r="S242" s="43" t="b">
        <v>1</v>
      </c>
      <c r="T242" s="43" t="b">
        <v>0</v>
      </c>
      <c r="U242" s="45">
        <f t="shared" si="3"/>
        <v>0</v>
      </c>
      <c r="V242" s="45">
        <v>6.9599999999999991</v>
      </c>
      <c r="W242" s="45">
        <v>-6.9599999999999991</v>
      </c>
    </row>
    <row r="243" spans="4:23" x14ac:dyDescent="0.15">
      <c r="D243" s="40" t="s">
        <v>979</v>
      </c>
      <c r="E243" s="40" t="s">
        <v>986</v>
      </c>
      <c r="F243" s="40" t="s">
        <v>987</v>
      </c>
      <c r="G243" s="40">
        <v>-24</v>
      </c>
      <c r="H243" s="41">
        <v>40513.433333333327</v>
      </c>
      <c r="I243" s="40">
        <v>0.28999999999999998</v>
      </c>
      <c r="J243" s="40">
        <v>17548</v>
      </c>
      <c r="K243" s="40" t="s">
        <v>71</v>
      </c>
      <c r="L243" s="42">
        <v>-6.9599999999999991</v>
      </c>
      <c r="M243" s="40" t="s">
        <v>602</v>
      </c>
      <c r="N243" s="40">
        <v>2010</v>
      </c>
      <c r="O243" s="40" t="s">
        <v>83</v>
      </c>
      <c r="P243" s="40" t="s">
        <v>126</v>
      </c>
      <c r="Q243" s="40" t="s">
        <v>624</v>
      </c>
      <c r="R243" s="40">
        <v>10</v>
      </c>
      <c r="S243" s="40" t="b">
        <v>1</v>
      </c>
      <c r="T243" s="40" t="b">
        <v>0</v>
      </c>
      <c r="U243" s="42">
        <f t="shared" si="3"/>
        <v>0</v>
      </c>
      <c r="V243" s="42">
        <v>6.9599999999999991</v>
      </c>
      <c r="W243" s="42">
        <v>-6.9599999999999991</v>
      </c>
    </row>
    <row r="244" spans="4:23" x14ac:dyDescent="0.15">
      <c r="D244" s="43" t="s">
        <v>979</v>
      </c>
      <c r="E244" s="43" t="s">
        <v>988</v>
      </c>
      <c r="F244" s="43" t="s">
        <v>989</v>
      </c>
      <c r="G244" s="43">
        <v>-12</v>
      </c>
      <c r="H244" s="44">
        <v>40513.433333333327</v>
      </c>
      <c r="I244" s="43">
        <v>3.45</v>
      </c>
      <c r="J244" s="43">
        <v>17548</v>
      </c>
      <c r="K244" s="43" t="s">
        <v>71</v>
      </c>
      <c r="L244" s="45">
        <v>-41.400000000000013</v>
      </c>
      <c r="M244" s="43" t="s">
        <v>602</v>
      </c>
      <c r="N244" s="43">
        <v>2010</v>
      </c>
      <c r="O244" s="43" t="s">
        <v>83</v>
      </c>
      <c r="P244" s="43" t="s">
        <v>126</v>
      </c>
      <c r="Q244" s="43" t="s">
        <v>624</v>
      </c>
      <c r="R244" s="43">
        <v>10</v>
      </c>
      <c r="S244" s="43" t="b">
        <v>1</v>
      </c>
      <c r="T244" s="43" t="b">
        <v>0</v>
      </c>
      <c r="U244" s="45">
        <f t="shared" si="3"/>
        <v>0</v>
      </c>
      <c r="V244" s="45">
        <v>41.400000000000013</v>
      </c>
      <c r="W244" s="45">
        <v>-41.400000000000013</v>
      </c>
    </row>
    <row r="245" spans="4:23" x14ac:dyDescent="0.15">
      <c r="D245" s="40" t="s">
        <v>979</v>
      </c>
      <c r="E245" s="40" t="s">
        <v>990</v>
      </c>
      <c r="F245" s="40" t="s">
        <v>991</v>
      </c>
      <c r="G245" s="40">
        <v>-12</v>
      </c>
      <c r="H245" s="41">
        <v>40513.433333333327</v>
      </c>
      <c r="I245" s="40">
        <v>1.65</v>
      </c>
      <c r="J245" s="40">
        <v>17548</v>
      </c>
      <c r="K245" s="40" t="s">
        <v>71</v>
      </c>
      <c r="L245" s="42">
        <v>-19.8</v>
      </c>
      <c r="M245" s="40" t="s">
        <v>602</v>
      </c>
      <c r="N245" s="40">
        <v>2010</v>
      </c>
      <c r="O245" s="40" t="s">
        <v>83</v>
      </c>
      <c r="P245" s="40" t="s">
        <v>126</v>
      </c>
      <c r="Q245" s="40" t="s">
        <v>624</v>
      </c>
      <c r="R245" s="40">
        <v>10</v>
      </c>
      <c r="S245" s="40" t="b">
        <v>1</v>
      </c>
      <c r="T245" s="40" t="b">
        <v>0</v>
      </c>
      <c r="U245" s="42">
        <f t="shared" si="3"/>
        <v>0</v>
      </c>
      <c r="V245" s="42">
        <v>19.8</v>
      </c>
      <c r="W245" s="42">
        <v>-19.8</v>
      </c>
    </row>
    <row r="246" spans="4:23" x14ac:dyDescent="0.15">
      <c r="D246" s="43" t="s">
        <v>979</v>
      </c>
      <c r="E246" s="43" t="s">
        <v>992</v>
      </c>
      <c r="F246" s="43" t="s">
        <v>993</v>
      </c>
      <c r="G246" s="43">
        <v>-24</v>
      </c>
      <c r="H246" s="44">
        <v>40513.433333333327</v>
      </c>
      <c r="I246" s="43">
        <v>1.65</v>
      </c>
      <c r="J246" s="43">
        <v>17548</v>
      </c>
      <c r="K246" s="43" t="s">
        <v>71</v>
      </c>
      <c r="L246" s="45">
        <v>-39.599999999999987</v>
      </c>
      <c r="M246" s="43" t="s">
        <v>602</v>
      </c>
      <c r="N246" s="43">
        <v>2010</v>
      </c>
      <c r="O246" s="43" t="s">
        <v>83</v>
      </c>
      <c r="P246" s="43" t="s">
        <v>126</v>
      </c>
      <c r="Q246" s="43" t="s">
        <v>624</v>
      </c>
      <c r="R246" s="43">
        <v>10</v>
      </c>
      <c r="S246" s="43" t="b">
        <v>1</v>
      </c>
      <c r="T246" s="43" t="b">
        <v>0</v>
      </c>
      <c r="U246" s="45">
        <f t="shared" si="3"/>
        <v>0</v>
      </c>
      <c r="V246" s="45">
        <v>39.599999999999987</v>
      </c>
      <c r="W246" s="45">
        <v>-39.599999999999987</v>
      </c>
    </row>
    <row r="247" spans="4:23" x14ac:dyDescent="0.15">
      <c r="D247" s="40" t="s">
        <v>994</v>
      </c>
      <c r="E247" s="40" t="s">
        <v>995</v>
      </c>
      <c r="F247" s="40" t="s">
        <v>996</v>
      </c>
      <c r="G247" s="40">
        <v>6</v>
      </c>
      <c r="H247" s="41">
        <v>40513.436805555553</v>
      </c>
      <c r="I247" s="40">
        <v>1.95</v>
      </c>
      <c r="J247" s="40">
        <v>13705</v>
      </c>
      <c r="K247" s="40" t="s">
        <v>71</v>
      </c>
      <c r="L247" s="42">
        <v>11.7</v>
      </c>
      <c r="M247" s="40" t="s">
        <v>721</v>
      </c>
      <c r="N247" s="40">
        <v>2010</v>
      </c>
      <c r="O247" s="40" t="s">
        <v>83</v>
      </c>
      <c r="P247" s="40" t="s">
        <v>126</v>
      </c>
      <c r="Q247" s="40" t="s">
        <v>624</v>
      </c>
      <c r="R247" s="40">
        <v>10</v>
      </c>
      <c r="S247" s="40" t="b">
        <v>0</v>
      </c>
      <c r="T247" s="40" t="b">
        <v>1</v>
      </c>
      <c r="U247" s="42">
        <f t="shared" si="3"/>
        <v>11.7</v>
      </c>
      <c r="V247" s="42">
        <v>0</v>
      </c>
      <c r="W247" s="42">
        <v>11.7</v>
      </c>
    </row>
    <row r="248" spans="4:23" x14ac:dyDescent="0.15">
      <c r="D248" s="43" t="s">
        <v>994</v>
      </c>
      <c r="E248" s="43" t="s">
        <v>997</v>
      </c>
      <c r="F248" s="43" t="s">
        <v>998</v>
      </c>
      <c r="G248" s="43">
        <v>4</v>
      </c>
      <c r="H248" s="44">
        <v>40513.436805555553</v>
      </c>
      <c r="I248" s="43">
        <v>3.75</v>
      </c>
      <c r="J248" s="43">
        <v>13705</v>
      </c>
      <c r="K248" s="43" t="s">
        <v>71</v>
      </c>
      <c r="L248" s="45">
        <v>15</v>
      </c>
      <c r="M248" s="43" t="s">
        <v>721</v>
      </c>
      <c r="N248" s="43">
        <v>2010</v>
      </c>
      <c r="O248" s="43" t="s">
        <v>83</v>
      </c>
      <c r="P248" s="43" t="s">
        <v>126</v>
      </c>
      <c r="Q248" s="43" t="s">
        <v>624</v>
      </c>
      <c r="R248" s="43">
        <v>10</v>
      </c>
      <c r="S248" s="43" t="b">
        <v>0</v>
      </c>
      <c r="T248" s="43" t="b">
        <v>1</v>
      </c>
      <c r="U248" s="45">
        <f t="shared" si="3"/>
        <v>15</v>
      </c>
      <c r="V248" s="45">
        <v>0</v>
      </c>
      <c r="W248" s="45">
        <v>15</v>
      </c>
    </row>
    <row r="249" spans="4:23" x14ac:dyDescent="0.15">
      <c r="D249" s="40" t="s">
        <v>994</v>
      </c>
      <c r="E249" s="40" t="s">
        <v>999</v>
      </c>
      <c r="F249" s="40" t="s">
        <v>1000</v>
      </c>
      <c r="G249" s="40">
        <v>12</v>
      </c>
      <c r="H249" s="41">
        <v>40513.436805555553</v>
      </c>
      <c r="I249" s="40">
        <v>1.25</v>
      </c>
      <c r="J249" s="40">
        <v>13705</v>
      </c>
      <c r="K249" s="40" t="s">
        <v>71</v>
      </c>
      <c r="L249" s="42">
        <v>15</v>
      </c>
      <c r="M249" s="40" t="s">
        <v>721</v>
      </c>
      <c r="N249" s="40">
        <v>2010</v>
      </c>
      <c r="O249" s="40" t="s">
        <v>83</v>
      </c>
      <c r="P249" s="40" t="s">
        <v>126</v>
      </c>
      <c r="Q249" s="40" t="s">
        <v>624</v>
      </c>
      <c r="R249" s="40">
        <v>10</v>
      </c>
      <c r="S249" s="40" t="b">
        <v>0</v>
      </c>
      <c r="T249" s="40" t="b">
        <v>1</v>
      </c>
      <c r="U249" s="42">
        <f t="shared" si="3"/>
        <v>15</v>
      </c>
      <c r="V249" s="42">
        <v>0</v>
      </c>
      <c r="W249" s="42">
        <v>15</v>
      </c>
    </row>
    <row r="250" spans="4:23" x14ac:dyDescent="0.15">
      <c r="D250" s="43" t="s">
        <v>994</v>
      </c>
      <c r="E250" s="43" t="s">
        <v>1001</v>
      </c>
      <c r="F250" s="43" t="s">
        <v>1002</v>
      </c>
      <c r="G250" s="43">
        <v>12</v>
      </c>
      <c r="H250" s="44">
        <v>40513.436805555553</v>
      </c>
      <c r="I250" s="43">
        <v>1.25</v>
      </c>
      <c r="J250" s="43">
        <v>13705</v>
      </c>
      <c r="K250" s="43" t="s">
        <v>71</v>
      </c>
      <c r="L250" s="45">
        <v>15</v>
      </c>
      <c r="M250" s="43" t="s">
        <v>721</v>
      </c>
      <c r="N250" s="43">
        <v>2010</v>
      </c>
      <c r="O250" s="43" t="s">
        <v>83</v>
      </c>
      <c r="P250" s="43" t="s">
        <v>126</v>
      </c>
      <c r="Q250" s="43" t="s">
        <v>624</v>
      </c>
      <c r="R250" s="43">
        <v>10</v>
      </c>
      <c r="S250" s="43" t="b">
        <v>0</v>
      </c>
      <c r="T250" s="43" t="b">
        <v>1</v>
      </c>
      <c r="U250" s="45">
        <f t="shared" si="3"/>
        <v>15</v>
      </c>
      <c r="V250" s="45">
        <v>0</v>
      </c>
      <c r="W250" s="45">
        <v>15</v>
      </c>
    </row>
    <row r="251" spans="4:23" x14ac:dyDescent="0.15">
      <c r="D251" s="40" t="s">
        <v>994</v>
      </c>
      <c r="E251" s="40" t="s">
        <v>1003</v>
      </c>
      <c r="F251" s="40" t="s">
        <v>1004</v>
      </c>
      <c r="G251" s="40">
        <v>1</v>
      </c>
      <c r="H251" s="41">
        <v>40513.436805555553</v>
      </c>
      <c r="I251" s="40">
        <v>165</v>
      </c>
      <c r="J251" s="40">
        <v>13705</v>
      </c>
      <c r="K251" s="40" t="s">
        <v>71</v>
      </c>
      <c r="L251" s="42">
        <v>165</v>
      </c>
      <c r="M251" s="40" t="s">
        <v>721</v>
      </c>
      <c r="N251" s="40">
        <v>2010</v>
      </c>
      <c r="O251" s="40" t="s">
        <v>83</v>
      </c>
      <c r="P251" s="40" t="s">
        <v>126</v>
      </c>
      <c r="Q251" s="40" t="s">
        <v>624</v>
      </c>
      <c r="R251" s="40">
        <v>10</v>
      </c>
      <c r="S251" s="40" t="b">
        <v>0</v>
      </c>
      <c r="T251" s="40" t="b">
        <v>1</v>
      </c>
      <c r="U251" s="42">
        <f t="shared" si="3"/>
        <v>165</v>
      </c>
      <c r="V251" s="42">
        <v>0</v>
      </c>
      <c r="W251" s="42">
        <v>165</v>
      </c>
    </row>
    <row r="252" spans="4:23" x14ac:dyDescent="0.15">
      <c r="D252" s="43" t="s">
        <v>994</v>
      </c>
      <c r="E252" s="43" t="s">
        <v>1005</v>
      </c>
      <c r="F252" s="43" t="s">
        <v>1006</v>
      </c>
      <c r="G252" s="43">
        <v>12</v>
      </c>
      <c r="H252" s="44">
        <v>40513.436805555553</v>
      </c>
      <c r="I252" s="43">
        <v>1.25</v>
      </c>
      <c r="J252" s="43">
        <v>13705</v>
      </c>
      <c r="K252" s="43" t="s">
        <v>71</v>
      </c>
      <c r="L252" s="45">
        <v>15</v>
      </c>
      <c r="M252" s="43" t="s">
        <v>721</v>
      </c>
      <c r="N252" s="43">
        <v>2010</v>
      </c>
      <c r="O252" s="43" t="s">
        <v>83</v>
      </c>
      <c r="P252" s="43" t="s">
        <v>126</v>
      </c>
      <c r="Q252" s="43" t="s">
        <v>624</v>
      </c>
      <c r="R252" s="43">
        <v>10</v>
      </c>
      <c r="S252" s="43" t="b">
        <v>0</v>
      </c>
      <c r="T252" s="43" t="b">
        <v>1</v>
      </c>
      <c r="U252" s="45">
        <f t="shared" si="3"/>
        <v>15</v>
      </c>
      <c r="V252" s="45">
        <v>0</v>
      </c>
      <c r="W252" s="45">
        <v>15</v>
      </c>
    </row>
    <row r="253" spans="4:23" x14ac:dyDescent="0.15">
      <c r="D253" s="40" t="s">
        <v>994</v>
      </c>
      <c r="E253" s="40" t="s">
        <v>1007</v>
      </c>
      <c r="F253" s="40" t="s">
        <v>1008</v>
      </c>
      <c r="G253" s="40">
        <v>12</v>
      </c>
      <c r="H253" s="41">
        <v>40513.436805555553</v>
      </c>
      <c r="I253" s="40">
        <v>1.25</v>
      </c>
      <c r="J253" s="40">
        <v>13705</v>
      </c>
      <c r="K253" s="40" t="s">
        <v>71</v>
      </c>
      <c r="L253" s="42">
        <v>15</v>
      </c>
      <c r="M253" s="40" t="s">
        <v>721</v>
      </c>
      <c r="N253" s="40">
        <v>2010</v>
      </c>
      <c r="O253" s="40" t="s">
        <v>83</v>
      </c>
      <c r="P253" s="40" t="s">
        <v>126</v>
      </c>
      <c r="Q253" s="40" t="s">
        <v>624</v>
      </c>
      <c r="R253" s="40">
        <v>10</v>
      </c>
      <c r="S253" s="40" t="b">
        <v>0</v>
      </c>
      <c r="T253" s="40" t="b">
        <v>1</v>
      </c>
      <c r="U253" s="42">
        <f t="shared" si="3"/>
        <v>15</v>
      </c>
      <c r="V253" s="42">
        <v>0</v>
      </c>
      <c r="W253" s="42">
        <v>15</v>
      </c>
    </row>
    <row r="254" spans="4:23" x14ac:dyDescent="0.15">
      <c r="D254" s="43" t="s">
        <v>994</v>
      </c>
      <c r="E254" s="43" t="s">
        <v>187</v>
      </c>
      <c r="F254" s="43" t="s">
        <v>521</v>
      </c>
      <c r="G254" s="43">
        <v>4</v>
      </c>
      <c r="H254" s="44">
        <v>40513.436805555553</v>
      </c>
      <c r="I254" s="43">
        <v>5.95</v>
      </c>
      <c r="J254" s="43">
        <v>13705</v>
      </c>
      <c r="K254" s="43" t="s">
        <v>71</v>
      </c>
      <c r="L254" s="45">
        <v>23.8</v>
      </c>
      <c r="M254" s="43" t="s">
        <v>721</v>
      </c>
      <c r="N254" s="43">
        <v>2010</v>
      </c>
      <c r="O254" s="43" t="s">
        <v>83</v>
      </c>
      <c r="P254" s="43" t="s">
        <v>126</v>
      </c>
      <c r="Q254" s="43" t="s">
        <v>624</v>
      </c>
      <c r="R254" s="43">
        <v>10</v>
      </c>
      <c r="S254" s="43" t="b">
        <v>0</v>
      </c>
      <c r="T254" s="43" t="b">
        <v>1</v>
      </c>
      <c r="U254" s="45">
        <f t="shared" si="3"/>
        <v>23.8</v>
      </c>
      <c r="V254" s="45">
        <v>0</v>
      </c>
      <c r="W254" s="45">
        <v>23.8</v>
      </c>
    </row>
    <row r="255" spans="4:23" x14ac:dyDescent="0.15">
      <c r="D255" s="40" t="s">
        <v>994</v>
      </c>
      <c r="E255" s="40" t="s">
        <v>177</v>
      </c>
      <c r="F255" s="40" t="s">
        <v>178</v>
      </c>
      <c r="G255" s="40">
        <v>16</v>
      </c>
      <c r="H255" s="41">
        <v>40513.436805555553</v>
      </c>
      <c r="I255" s="40">
        <v>1.69</v>
      </c>
      <c r="J255" s="40">
        <v>13705</v>
      </c>
      <c r="K255" s="40" t="s">
        <v>71</v>
      </c>
      <c r="L255" s="42">
        <v>27.04</v>
      </c>
      <c r="M255" s="40" t="s">
        <v>721</v>
      </c>
      <c r="N255" s="40">
        <v>2010</v>
      </c>
      <c r="O255" s="40" t="s">
        <v>83</v>
      </c>
      <c r="P255" s="40" t="s">
        <v>126</v>
      </c>
      <c r="Q255" s="40" t="s">
        <v>624</v>
      </c>
      <c r="R255" s="40">
        <v>10</v>
      </c>
      <c r="S255" s="40" t="b">
        <v>0</v>
      </c>
      <c r="T255" s="40" t="b">
        <v>1</v>
      </c>
      <c r="U255" s="42">
        <f t="shared" si="3"/>
        <v>27.04</v>
      </c>
      <c r="V255" s="42">
        <v>0</v>
      </c>
      <c r="W255" s="42">
        <v>27.04</v>
      </c>
    </row>
    <row r="256" spans="4:23" x14ac:dyDescent="0.15">
      <c r="D256" s="43" t="s">
        <v>994</v>
      </c>
      <c r="E256" s="43" t="s">
        <v>1009</v>
      </c>
      <c r="F256" s="43" t="s">
        <v>1010</v>
      </c>
      <c r="G256" s="43">
        <v>24</v>
      </c>
      <c r="H256" s="44">
        <v>40513.436805555553</v>
      </c>
      <c r="I256" s="43">
        <v>0.65</v>
      </c>
      <c r="J256" s="43">
        <v>13705</v>
      </c>
      <c r="K256" s="43" t="s">
        <v>71</v>
      </c>
      <c r="L256" s="45">
        <v>15.6</v>
      </c>
      <c r="M256" s="43" t="s">
        <v>721</v>
      </c>
      <c r="N256" s="43">
        <v>2010</v>
      </c>
      <c r="O256" s="43" t="s">
        <v>83</v>
      </c>
      <c r="P256" s="43" t="s">
        <v>126</v>
      </c>
      <c r="Q256" s="43" t="s">
        <v>624</v>
      </c>
      <c r="R256" s="43">
        <v>10</v>
      </c>
      <c r="S256" s="43" t="b">
        <v>0</v>
      </c>
      <c r="T256" s="43" t="b">
        <v>1</v>
      </c>
      <c r="U256" s="45">
        <f t="shared" si="3"/>
        <v>15.6</v>
      </c>
      <c r="V256" s="45">
        <v>0</v>
      </c>
      <c r="W256" s="45">
        <v>15.6</v>
      </c>
    </row>
    <row r="257" spans="4:23" x14ac:dyDescent="0.15">
      <c r="D257" s="40" t="s">
        <v>1011</v>
      </c>
      <c r="E257" s="40" t="s">
        <v>1012</v>
      </c>
      <c r="F257" s="40" t="s">
        <v>1013</v>
      </c>
      <c r="G257" s="40">
        <v>8</v>
      </c>
      <c r="H257" s="41">
        <v>40513.442361111112</v>
      </c>
      <c r="I257" s="40">
        <v>9.9499999999999993</v>
      </c>
      <c r="J257" s="40">
        <v>13747</v>
      </c>
      <c r="K257" s="40" t="s">
        <v>71</v>
      </c>
      <c r="L257" s="42">
        <v>79.599999999999994</v>
      </c>
      <c r="M257" s="40" t="s">
        <v>721</v>
      </c>
      <c r="N257" s="40">
        <v>2010</v>
      </c>
      <c r="O257" s="40" t="s">
        <v>83</v>
      </c>
      <c r="P257" s="40" t="s">
        <v>126</v>
      </c>
      <c r="Q257" s="40" t="s">
        <v>624</v>
      </c>
      <c r="R257" s="40">
        <v>10</v>
      </c>
      <c r="S257" s="40" t="b">
        <v>0</v>
      </c>
      <c r="T257" s="40" t="b">
        <v>1</v>
      </c>
      <c r="U257" s="42">
        <f t="shared" si="3"/>
        <v>79.599999999999994</v>
      </c>
      <c r="V257" s="42">
        <v>0</v>
      </c>
      <c r="W257" s="42">
        <v>79.599999999999994</v>
      </c>
    </row>
    <row r="258" spans="4:23" x14ac:dyDescent="0.15">
      <c r="D258" s="43" t="s">
        <v>1014</v>
      </c>
      <c r="E258" s="43" t="s">
        <v>1015</v>
      </c>
      <c r="F258" s="43" t="s">
        <v>1016</v>
      </c>
      <c r="G258" s="43">
        <v>24</v>
      </c>
      <c r="H258" s="44">
        <v>40513.443749999999</v>
      </c>
      <c r="I258" s="43">
        <v>0.42</v>
      </c>
      <c r="J258" s="43">
        <v>13408</v>
      </c>
      <c r="K258" s="43" t="s">
        <v>71</v>
      </c>
      <c r="L258" s="45">
        <v>10.08</v>
      </c>
      <c r="M258" s="43" t="s">
        <v>721</v>
      </c>
      <c r="N258" s="43">
        <v>2010</v>
      </c>
      <c r="O258" s="43" t="s">
        <v>83</v>
      </c>
      <c r="P258" s="43" t="s">
        <v>126</v>
      </c>
      <c r="Q258" s="43" t="s">
        <v>624</v>
      </c>
      <c r="R258" s="43">
        <v>10</v>
      </c>
      <c r="S258" s="43" t="b">
        <v>0</v>
      </c>
      <c r="T258" s="43" t="b">
        <v>1</v>
      </c>
      <c r="U258" s="45">
        <f t="shared" si="3"/>
        <v>10.08</v>
      </c>
      <c r="V258" s="45">
        <v>0</v>
      </c>
      <c r="W258" s="45">
        <v>10.08</v>
      </c>
    </row>
    <row r="259" spans="4:23" x14ac:dyDescent="0.15">
      <c r="D259" s="40" t="s">
        <v>1014</v>
      </c>
      <c r="E259" s="40" t="s">
        <v>729</v>
      </c>
      <c r="F259" s="40" t="s">
        <v>730</v>
      </c>
      <c r="G259" s="40">
        <v>96</v>
      </c>
      <c r="H259" s="41">
        <v>40513.443749999999</v>
      </c>
      <c r="I259" s="40">
        <v>1.85</v>
      </c>
      <c r="J259" s="40">
        <v>13408</v>
      </c>
      <c r="K259" s="40" t="s">
        <v>71</v>
      </c>
      <c r="L259" s="42">
        <v>177.6</v>
      </c>
      <c r="M259" s="40" t="s">
        <v>721</v>
      </c>
      <c r="N259" s="40">
        <v>2010</v>
      </c>
      <c r="O259" s="40" t="s">
        <v>83</v>
      </c>
      <c r="P259" s="40" t="s">
        <v>126</v>
      </c>
      <c r="Q259" s="40" t="s">
        <v>624</v>
      </c>
      <c r="R259" s="40">
        <v>10</v>
      </c>
      <c r="S259" s="40" t="b">
        <v>0</v>
      </c>
      <c r="T259" s="40" t="b">
        <v>1</v>
      </c>
      <c r="U259" s="42">
        <f t="shared" si="3"/>
        <v>177.6</v>
      </c>
      <c r="V259" s="42">
        <v>0</v>
      </c>
      <c r="W259" s="42">
        <v>177.6</v>
      </c>
    </row>
    <row r="260" spans="4:23" x14ac:dyDescent="0.15">
      <c r="D260" s="43" t="s">
        <v>1014</v>
      </c>
      <c r="E260" s="43" t="s">
        <v>419</v>
      </c>
      <c r="F260" s="43" t="s">
        <v>420</v>
      </c>
      <c r="G260" s="43">
        <v>96</v>
      </c>
      <c r="H260" s="44">
        <v>40513.443749999999</v>
      </c>
      <c r="I260" s="43">
        <v>1.85</v>
      </c>
      <c r="J260" s="43">
        <v>13408</v>
      </c>
      <c r="K260" s="43" t="s">
        <v>71</v>
      </c>
      <c r="L260" s="45">
        <v>177.6</v>
      </c>
      <c r="M260" s="43" t="s">
        <v>721</v>
      </c>
      <c r="N260" s="43">
        <v>2010</v>
      </c>
      <c r="O260" s="43" t="s">
        <v>83</v>
      </c>
      <c r="P260" s="43" t="s">
        <v>126</v>
      </c>
      <c r="Q260" s="43" t="s">
        <v>624</v>
      </c>
      <c r="R260" s="43">
        <v>10</v>
      </c>
      <c r="S260" s="43" t="b">
        <v>0</v>
      </c>
      <c r="T260" s="43" t="b">
        <v>1</v>
      </c>
      <c r="U260" s="45">
        <f t="shared" si="3"/>
        <v>177.6</v>
      </c>
      <c r="V260" s="45">
        <v>0</v>
      </c>
      <c r="W260" s="45">
        <v>177.6</v>
      </c>
    </row>
    <row r="261" spans="4:23" x14ac:dyDescent="0.15">
      <c r="D261" s="40" t="s">
        <v>1014</v>
      </c>
      <c r="E261" s="40" t="s">
        <v>361</v>
      </c>
      <c r="F261" s="40" t="s">
        <v>362</v>
      </c>
      <c r="G261" s="40">
        <v>96</v>
      </c>
      <c r="H261" s="41">
        <v>40513.443749999999</v>
      </c>
      <c r="I261" s="40">
        <v>1.85</v>
      </c>
      <c r="J261" s="40">
        <v>13408</v>
      </c>
      <c r="K261" s="40" t="s">
        <v>71</v>
      </c>
      <c r="L261" s="42">
        <v>177.6</v>
      </c>
      <c r="M261" s="40" t="s">
        <v>721</v>
      </c>
      <c r="N261" s="40">
        <v>2010</v>
      </c>
      <c r="O261" s="40" t="s">
        <v>83</v>
      </c>
      <c r="P261" s="40" t="s">
        <v>126</v>
      </c>
      <c r="Q261" s="40" t="s">
        <v>624</v>
      </c>
      <c r="R261" s="40">
        <v>10</v>
      </c>
      <c r="S261" s="40" t="b">
        <v>0</v>
      </c>
      <c r="T261" s="40" t="b">
        <v>1</v>
      </c>
      <c r="U261" s="42">
        <f t="shared" ref="U261:U324" si="4">IF(T261,L261,0)</f>
        <v>177.6</v>
      </c>
      <c r="V261" s="42">
        <v>0</v>
      </c>
      <c r="W261" s="42">
        <v>177.6</v>
      </c>
    </row>
    <row r="262" spans="4:23" x14ac:dyDescent="0.15">
      <c r="D262" s="43" t="s">
        <v>1014</v>
      </c>
      <c r="E262" s="43" t="s">
        <v>731</v>
      </c>
      <c r="F262" s="43" t="s">
        <v>1017</v>
      </c>
      <c r="G262" s="43">
        <v>96</v>
      </c>
      <c r="H262" s="44">
        <v>40513.443749999999</v>
      </c>
      <c r="I262" s="43">
        <v>1.85</v>
      </c>
      <c r="J262" s="43">
        <v>13408</v>
      </c>
      <c r="K262" s="43" t="s">
        <v>71</v>
      </c>
      <c r="L262" s="45">
        <v>177.6</v>
      </c>
      <c r="M262" s="43" t="s">
        <v>721</v>
      </c>
      <c r="N262" s="43">
        <v>2010</v>
      </c>
      <c r="O262" s="43" t="s">
        <v>83</v>
      </c>
      <c r="P262" s="43" t="s">
        <v>126</v>
      </c>
      <c r="Q262" s="43" t="s">
        <v>624</v>
      </c>
      <c r="R262" s="43">
        <v>10</v>
      </c>
      <c r="S262" s="43" t="b">
        <v>0</v>
      </c>
      <c r="T262" s="43" t="b">
        <v>1</v>
      </c>
      <c r="U262" s="45">
        <f t="shared" si="4"/>
        <v>177.6</v>
      </c>
      <c r="V262" s="45">
        <v>0</v>
      </c>
      <c r="W262" s="45">
        <v>177.6</v>
      </c>
    </row>
    <row r="263" spans="4:23" x14ac:dyDescent="0.15">
      <c r="D263" s="40" t="s">
        <v>1014</v>
      </c>
      <c r="E263" s="40" t="s">
        <v>363</v>
      </c>
      <c r="F263" s="40" t="s">
        <v>364</v>
      </c>
      <c r="G263" s="40">
        <v>12</v>
      </c>
      <c r="H263" s="41">
        <v>40513.443749999999</v>
      </c>
      <c r="I263" s="40">
        <v>4.95</v>
      </c>
      <c r="J263" s="40">
        <v>13408</v>
      </c>
      <c r="K263" s="40" t="s">
        <v>71</v>
      </c>
      <c r="L263" s="42">
        <v>59.400000000000013</v>
      </c>
      <c r="M263" s="40" t="s">
        <v>721</v>
      </c>
      <c r="N263" s="40">
        <v>2010</v>
      </c>
      <c r="O263" s="40" t="s">
        <v>83</v>
      </c>
      <c r="P263" s="40" t="s">
        <v>126</v>
      </c>
      <c r="Q263" s="40" t="s">
        <v>624</v>
      </c>
      <c r="R263" s="40">
        <v>10</v>
      </c>
      <c r="S263" s="40" t="b">
        <v>0</v>
      </c>
      <c r="T263" s="40" t="b">
        <v>1</v>
      </c>
      <c r="U263" s="42">
        <f t="shared" si="4"/>
        <v>59.400000000000013</v>
      </c>
      <c r="V263" s="42">
        <v>0</v>
      </c>
      <c r="W263" s="42">
        <v>59.400000000000013</v>
      </c>
    </row>
    <row r="264" spans="4:23" x14ac:dyDescent="0.15">
      <c r="D264" s="43" t="s">
        <v>1014</v>
      </c>
      <c r="E264" s="43" t="s">
        <v>1018</v>
      </c>
      <c r="F264" s="43" t="s">
        <v>1019</v>
      </c>
      <c r="G264" s="43">
        <v>12</v>
      </c>
      <c r="H264" s="44">
        <v>40513.443749999999</v>
      </c>
      <c r="I264" s="43">
        <v>3.75</v>
      </c>
      <c r="J264" s="43">
        <v>13408</v>
      </c>
      <c r="K264" s="43" t="s">
        <v>71</v>
      </c>
      <c r="L264" s="45">
        <v>45</v>
      </c>
      <c r="M264" s="43" t="s">
        <v>721</v>
      </c>
      <c r="N264" s="43">
        <v>2010</v>
      </c>
      <c r="O264" s="43" t="s">
        <v>83</v>
      </c>
      <c r="P264" s="43" t="s">
        <v>126</v>
      </c>
      <c r="Q264" s="43" t="s">
        <v>624</v>
      </c>
      <c r="R264" s="43">
        <v>10</v>
      </c>
      <c r="S264" s="43" t="b">
        <v>0</v>
      </c>
      <c r="T264" s="43" t="b">
        <v>1</v>
      </c>
      <c r="U264" s="45">
        <f t="shared" si="4"/>
        <v>45</v>
      </c>
      <c r="V264" s="45">
        <v>0</v>
      </c>
      <c r="W264" s="45">
        <v>45</v>
      </c>
    </row>
    <row r="265" spans="4:23" x14ac:dyDescent="0.15">
      <c r="D265" s="40" t="s">
        <v>1014</v>
      </c>
      <c r="E265" s="40" t="s">
        <v>463</v>
      </c>
      <c r="F265" s="40" t="s">
        <v>464</v>
      </c>
      <c r="G265" s="40">
        <v>48</v>
      </c>
      <c r="H265" s="41">
        <v>40513.443749999999</v>
      </c>
      <c r="I265" s="40">
        <v>1.25</v>
      </c>
      <c r="J265" s="40">
        <v>13408</v>
      </c>
      <c r="K265" s="40" t="s">
        <v>71</v>
      </c>
      <c r="L265" s="42">
        <v>60</v>
      </c>
      <c r="M265" s="40" t="s">
        <v>721</v>
      </c>
      <c r="N265" s="40">
        <v>2010</v>
      </c>
      <c r="O265" s="40" t="s">
        <v>83</v>
      </c>
      <c r="P265" s="40" t="s">
        <v>126</v>
      </c>
      <c r="Q265" s="40" t="s">
        <v>624</v>
      </c>
      <c r="R265" s="40">
        <v>10</v>
      </c>
      <c r="S265" s="40" t="b">
        <v>0</v>
      </c>
      <c r="T265" s="40" t="b">
        <v>1</v>
      </c>
      <c r="U265" s="42">
        <f t="shared" si="4"/>
        <v>60</v>
      </c>
      <c r="V265" s="42">
        <v>0</v>
      </c>
      <c r="W265" s="42">
        <v>60</v>
      </c>
    </row>
    <row r="266" spans="4:23" x14ac:dyDescent="0.15">
      <c r="D266" s="43" t="s">
        <v>1014</v>
      </c>
      <c r="E266" s="43" t="s">
        <v>401</v>
      </c>
      <c r="F266" s="43" t="s">
        <v>402</v>
      </c>
      <c r="G266" s="43">
        <v>12</v>
      </c>
      <c r="H266" s="44">
        <v>40513.443749999999</v>
      </c>
      <c r="I266" s="43">
        <v>2.1</v>
      </c>
      <c r="J266" s="43">
        <v>13408</v>
      </c>
      <c r="K266" s="43" t="s">
        <v>71</v>
      </c>
      <c r="L266" s="45">
        <v>25.2</v>
      </c>
      <c r="M266" s="43" t="s">
        <v>721</v>
      </c>
      <c r="N266" s="43">
        <v>2010</v>
      </c>
      <c r="O266" s="43" t="s">
        <v>83</v>
      </c>
      <c r="P266" s="43" t="s">
        <v>126</v>
      </c>
      <c r="Q266" s="43" t="s">
        <v>624</v>
      </c>
      <c r="R266" s="43">
        <v>10</v>
      </c>
      <c r="S266" s="43" t="b">
        <v>0</v>
      </c>
      <c r="T266" s="43" t="b">
        <v>1</v>
      </c>
      <c r="U266" s="45">
        <f t="shared" si="4"/>
        <v>25.2</v>
      </c>
      <c r="V266" s="45">
        <v>0</v>
      </c>
      <c r="W266" s="45">
        <v>25.2</v>
      </c>
    </row>
    <row r="267" spans="4:23" x14ac:dyDescent="0.15">
      <c r="D267" s="40" t="s">
        <v>1014</v>
      </c>
      <c r="E267" s="40" t="s">
        <v>168</v>
      </c>
      <c r="F267" s="40" t="s">
        <v>102</v>
      </c>
      <c r="G267" s="40">
        <v>32</v>
      </c>
      <c r="H267" s="41">
        <v>40513.443749999999</v>
      </c>
      <c r="I267" s="40">
        <v>2.5499999999999998</v>
      </c>
      <c r="J267" s="40">
        <v>13408</v>
      </c>
      <c r="K267" s="40" t="s">
        <v>71</v>
      </c>
      <c r="L267" s="42">
        <v>81.599999999999994</v>
      </c>
      <c r="M267" s="40" t="s">
        <v>721</v>
      </c>
      <c r="N267" s="40">
        <v>2010</v>
      </c>
      <c r="O267" s="40" t="s">
        <v>83</v>
      </c>
      <c r="P267" s="40" t="s">
        <v>126</v>
      </c>
      <c r="Q267" s="40" t="s">
        <v>624</v>
      </c>
      <c r="R267" s="40">
        <v>10</v>
      </c>
      <c r="S267" s="40" t="b">
        <v>0</v>
      </c>
      <c r="T267" s="40" t="b">
        <v>1</v>
      </c>
      <c r="U267" s="42">
        <f t="shared" si="4"/>
        <v>81.599999999999994</v>
      </c>
      <c r="V267" s="42">
        <v>0</v>
      </c>
      <c r="W267" s="42">
        <v>81.599999999999994</v>
      </c>
    </row>
    <row r="268" spans="4:23" x14ac:dyDescent="0.15">
      <c r="D268" s="43" t="s">
        <v>1014</v>
      </c>
      <c r="E268" s="43" t="s">
        <v>1020</v>
      </c>
      <c r="F268" s="43" t="s">
        <v>1021</v>
      </c>
      <c r="G268" s="43">
        <v>20</v>
      </c>
      <c r="H268" s="44">
        <v>40513.443749999999</v>
      </c>
      <c r="I268" s="43">
        <v>1.65</v>
      </c>
      <c r="J268" s="43">
        <v>13408</v>
      </c>
      <c r="K268" s="43" t="s">
        <v>71</v>
      </c>
      <c r="L268" s="45">
        <v>33</v>
      </c>
      <c r="M268" s="43" t="s">
        <v>721</v>
      </c>
      <c r="N268" s="43">
        <v>2010</v>
      </c>
      <c r="O268" s="43" t="s">
        <v>83</v>
      </c>
      <c r="P268" s="43" t="s">
        <v>126</v>
      </c>
      <c r="Q268" s="43" t="s">
        <v>624</v>
      </c>
      <c r="R268" s="43">
        <v>10</v>
      </c>
      <c r="S268" s="43" t="b">
        <v>0</v>
      </c>
      <c r="T268" s="43" t="b">
        <v>1</v>
      </c>
      <c r="U268" s="45">
        <f t="shared" si="4"/>
        <v>33</v>
      </c>
      <c r="V268" s="45">
        <v>0</v>
      </c>
      <c r="W268" s="45">
        <v>33</v>
      </c>
    </row>
    <row r="269" spans="4:23" x14ac:dyDescent="0.15">
      <c r="D269" s="40" t="s">
        <v>1022</v>
      </c>
      <c r="E269" s="40" t="s">
        <v>489</v>
      </c>
      <c r="F269" s="40" t="s">
        <v>490</v>
      </c>
      <c r="G269" s="40">
        <v>8</v>
      </c>
      <c r="H269" s="41">
        <v>40513.449305555558</v>
      </c>
      <c r="I269" s="40">
        <v>3.95</v>
      </c>
      <c r="J269" s="40">
        <v>13767</v>
      </c>
      <c r="K269" s="40" t="s">
        <v>71</v>
      </c>
      <c r="L269" s="42">
        <v>31.6</v>
      </c>
      <c r="M269" s="40" t="s">
        <v>721</v>
      </c>
      <c r="N269" s="40">
        <v>2010</v>
      </c>
      <c r="O269" s="40" t="s">
        <v>83</v>
      </c>
      <c r="P269" s="40" t="s">
        <v>126</v>
      </c>
      <c r="Q269" s="40" t="s">
        <v>624</v>
      </c>
      <c r="R269" s="40">
        <v>10</v>
      </c>
      <c r="S269" s="40" t="b">
        <v>0</v>
      </c>
      <c r="T269" s="40" t="b">
        <v>1</v>
      </c>
      <c r="U269" s="42">
        <f t="shared" si="4"/>
        <v>31.6</v>
      </c>
      <c r="V269" s="42">
        <v>0</v>
      </c>
      <c r="W269" s="42">
        <v>31.6</v>
      </c>
    </row>
    <row r="270" spans="4:23" x14ac:dyDescent="0.15">
      <c r="D270" s="43" t="s">
        <v>1022</v>
      </c>
      <c r="E270" s="43" t="s">
        <v>177</v>
      </c>
      <c r="F270" s="43" t="s">
        <v>178</v>
      </c>
      <c r="G270" s="43">
        <v>32</v>
      </c>
      <c r="H270" s="44">
        <v>40513.449305555558</v>
      </c>
      <c r="I270" s="43">
        <v>1.69</v>
      </c>
      <c r="J270" s="43">
        <v>13767</v>
      </c>
      <c r="K270" s="43" t="s">
        <v>71</v>
      </c>
      <c r="L270" s="45">
        <v>54.08</v>
      </c>
      <c r="M270" s="43" t="s">
        <v>721</v>
      </c>
      <c r="N270" s="43">
        <v>2010</v>
      </c>
      <c r="O270" s="43" t="s">
        <v>83</v>
      </c>
      <c r="P270" s="43" t="s">
        <v>126</v>
      </c>
      <c r="Q270" s="43" t="s">
        <v>624</v>
      </c>
      <c r="R270" s="43">
        <v>10</v>
      </c>
      <c r="S270" s="43" t="b">
        <v>0</v>
      </c>
      <c r="T270" s="43" t="b">
        <v>1</v>
      </c>
      <c r="U270" s="45">
        <f t="shared" si="4"/>
        <v>54.08</v>
      </c>
      <c r="V270" s="45">
        <v>0</v>
      </c>
      <c r="W270" s="45">
        <v>54.08</v>
      </c>
    </row>
    <row r="271" spans="4:23" x14ac:dyDescent="0.15">
      <c r="D271" s="40" t="s">
        <v>1022</v>
      </c>
      <c r="E271" s="40" t="s">
        <v>499</v>
      </c>
      <c r="F271" s="40" t="s">
        <v>500</v>
      </c>
      <c r="G271" s="40">
        <v>24</v>
      </c>
      <c r="H271" s="41">
        <v>40513.449305555558</v>
      </c>
      <c r="I271" s="40">
        <v>0.55000000000000004</v>
      </c>
      <c r="J271" s="40">
        <v>13767</v>
      </c>
      <c r="K271" s="40" t="s">
        <v>71</v>
      </c>
      <c r="L271" s="42">
        <v>13.2</v>
      </c>
      <c r="M271" s="40" t="s">
        <v>721</v>
      </c>
      <c r="N271" s="40">
        <v>2010</v>
      </c>
      <c r="O271" s="40" t="s">
        <v>83</v>
      </c>
      <c r="P271" s="40" t="s">
        <v>126</v>
      </c>
      <c r="Q271" s="40" t="s">
        <v>624</v>
      </c>
      <c r="R271" s="40">
        <v>10</v>
      </c>
      <c r="S271" s="40" t="b">
        <v>0</v>
      </c>
      <c r="T271" s="40" t="b">
        <v>1</v>
      </c>
      <c r="U271" s="42">
        <f t="shared" si="4"/>
        <v>13.2</v>
      </c>
      <c r="V271" s="42">
        <v>0</v>
      </c>
      <c r="W271" s="42">
        <v>13.2</v>
      </c>
    </row>
    <row r="272" spans="4:23" x14ac:dyDescent="0.15">
      <c r="D272" s="43" t="s">
        <v>1022</v>
      </c>
      <c r="E272" s="43" t="s">
        <v>813</v>
      </c>
      <c r="F272" s="43" t="s">
        <v>814</v>
      </c>
      <c r="G272" s="43">
        <v>24</v>
      </c>
      <c r="H272" s="44">
        <v>40513.449305555558</v>
      </c>
      <c r="I272" s="43">
        <v>0.55000000000000004</v>
      </c>
      <c r="J272" s="43">
        <v>13767</v>
      </c>
      <c r="K272" s="43" t="s">
        <v>71</v>
      </c>
      <c r="L272" s="45">
        <v>13.2</v>
      </c>
      <c r="M272" s="43" t="s">
        <v>721</v>
      </c>
      <c r="N272" s="43">
        <v>2010</v>
      </c>
      <c r="O272" s="43" t="s">
        <v>83</v>
      </c>
      <c r="P272" s="43" t="s">
        <v>126</v>
      </c>
      <c r="Q272" s="43" t="s">
        <v>624</v>
      </c>
      <c r="R272" s="43">
        <v>10</v>
      </c>
      <c r="S272" s="43" t="b">
        <v>0</v>
      </c>
      <c r="T272" s="43" t="b">
        <v>1</v>
      </c>
      <c r="U272" s="45">
        <f t="shared" si="4"/>
        <v>13.2</v>
      </c>
      <c r="V272" s="45">
        <v>0</v>
      </c>
      <c r="W272" s="45">
        <v>13.2</v>
      </c>
    </row>
    <row r="273" spans="4:23" x14ac:dyDescent="0.15">
      <c r="D273" s="40" t="s">
        <v>1022</v>
      </c>
      <c r="E273" s="40" t="s">
        <v>323</v>
      </c>
      <c r="F273" s="40" t="s">
        <v>324</v>
      </c>
      <c r="G273" s="40">
        <v>24</v>
      </c>
      <c r="H273" s="41">
        <v>40513.449305555558</v>
      </c>
      <c r="I273" s="40">
        <v>0.55000000000000004</v>
      </c>
      <c r="J273" s="40">
        <v>13767</v>
      </c>
      <c r="K273" s="40" t="s">
        <v>71</v>
      </c>
      <c r="L273" s="42">
        <v>13.2</v>
      </c>
      <c r="M273" s="40" t="s">
        <v>721</v>
      </c>
      <c r="N273" s="40">
        <v>2010</v>
      </c>
      <c r="O273" s="40" t="s">
        <v>83</v>
      </c>
      <c r="P273" s="40" t="s">
        <v>126</v>
      </c>
      <c r="Q273" s="40" t="s">
        <v>624</v>
      </c>
      <c r="R273" s="40">
        <v>10</v>
      </c>
      <c r="S273" s="40" t="b">
        <v>0</v>
      </c>
      <c r="T273" s="40" t="b">
        <v>1</v>
      </c>
      <c r="U273" s="42">
        <f t="shared" si="4"/>
        <v>13.2</v>
      </c>
      <c r="V273" s="42">
        <v>0</v>
      </c>
      <c r="W273" s="42">
        <v>13.2</v>
      </c>
    </row>
    <row r="274" spans="4:23" x14ac:dyDescent="0.15">
      <c r="D274" s="43" t="s">
        <v>1022</v>
      </c>
      <c r="E274" s="43" t="s">
        <v>988</v>
      </c>
      <c r="F274" s="43" t="s">
        <v>989</v>
      </c>
      <c r="G274" s="43">
        <v>8</v>
      </c>
      <c r="H274" s="44">
        <v>40513.449305555558</v>
      </c>
      <c r="I274" s="43">
        <v>3.45</v>
      </c>
      <c r="J274" s="43">
        <v>13767</v>
      </c>
      <c r="K274" s="43" t="s">
        <v>71</v>
      </c>
      <c r="L274" s="45">
        <v>27.6</v>
      </c>
      <c r="M274" s="43" t="s">
        <v>721</v>
      </c>
      <c r="N274" s="43">
        <v>2010</v>
      </c>
      <c r="O274" s="43" t="s">
        <v>83</v>
      </c>
      <c r="P274" s="43" t="s">
        <v>126</v>
      </c>
      <c r="Q274" s="43" t="s">
        <v>624</v>
      </c>
      <c r="R274" s="43">
        <v>10</v>
      </c>
      <c r="S274" s="43" t="b">
        <v>0</v>
      </c>
      <c r="T274" s="43" t="b">
        <v>1</v>
      </c>
      <c r="U274" s="45">
        <f t="shared" si="4"/>
        <v>27.6</v>
      </c>
      <c r="V274" s="45">
        <v>0</v>
      </c>
      <c r="W274" s="45">
        <v>27.6</v>
      </c>
    </row>
    <row r="275" spans="4:23" x14ac:dyDescent="0.15">
      <c r="D275" s="40" t="s">
        <v>1022</v>
      </c>
      <c r="E275" s="40" t="s">
        <v>1023</v>
      </c>
      <c r="F275" s="40" t="s">
        <v>1024</v>
      </c>
      <c r="G275" s="40">
        <v>8</v>
      </c>
      <c r="H275" s="41">
        <v>40513.449305555558</v>
      </c>
      <c r="I275" s="40">
        <v>2.1</v>
      </c>
      <c r="J275" s="40">
        <v>13767</v>
      </c>
      <c r="K275" s="40" t="s">
        <v>71</v>
      </c>
      <c r="L275" s="42">
        <v>16.8</v>
      </c>
      <c r="M275" s="40" t="s">
        <v>721</v>
      </c>
      <c r="N275" s="40">
        <v>2010</v>
      </c>
      <c r="O275" s="40" t="s">
        <v>83</v>
      </c>
      <c r="P275" s="40" t="s">
        <v>126</v>
      </c>
      <c r="Q275" s="40" t="s">
        <v>624</v>
      </c>
      <c r="R275" s="40">
        <v>10</v>
      </c>
      <c r="S275" s="40" t="b">
        <v>0</v>
      </c>
      <c r="T275" s="40" t="b">
        <v>1</v>
      </c>
      <c r="U275" s="42">
        <f t="shared" si="4"/>
        <v>16.8</v>
      </c>
      <c r="V275" s="42">
        <v>0</v>
      </c>
      <c r="W275" s="42">
        <v>16.8</v>
      </c>
    </row>
    <row r="276" spans="4:23" x14ac:dyDescent="0.15">
      <c r="D276" s="43" t="s">
        <v>1022</v>
      </c>
      <c r="E276" s="43" t="s">
        <v>530</v>
      </c>
      <c r="F276" s="43" t="s">
        <v>531</v>
      </c>
      <c r="G276" s="43">
        <v>4</v>
      </c>
      <c r="H276" s="44">
        <v>40513.449305555558</v>
      </c>
      <c r="I276" s="43">
        <v>3.75</v>
      </c>
      <c r="J276" s="43">
        <v>13767</v>
      </c>
      <c r="K276" s="43" t="s">
        <v>71</v>
      </c>
      <c r="L276" s="45">
        <v>15</v>
      </c>
      <c r="M276" s="43" t="s">
        <v>721</v>
      </c>
      <c r="N276" s="43">
        <v>2010</v>
      </c>
      <c r="O276" s="43" t="s">
        <v>83</v>
      </c>
      <c r="P276" s="43" t="s">
        <v>126</v>
      </c>
      <c r="Q276" s="43" t="s">
        <v>624</v>
      </c>
      <c r="R276" s="43">
        <v>10</v>
      </c>
      <c r="S276" s="43" t="b">
        <v>0</v>
      </c>
      <c r="T276" s="43" t="b">
        <v>1</v>
      </c>
      <c r="U276" s="45">
        <f t="shared" si="4"/>
        <v>15</v>
      </c>
      <c r="V276" s="45">
        <v>0</v>
      </c>
      <c r="W276" s="45">
        <v>15</v>
      </c>
    </row>
    <row r="277" spans="4:23" x14ac:dyDescent="0.15">
      <c r="D277" s="40" t="s">
        <v>1022</v>
      </c>
      <c r="E277" s="40" t="s">
        <v>217</v>
      </c>
      <c r="F277" s="40" t="s">
        <v>218</v>
      </c>
      <c r="G277" s="40">
        <v>8</v>
      </c>
      <c r="H277" s="41">
        <v>40513.449305555558</v>
      </c>
      <c r="I277" s="40">
        <v>3.75</v>
      </c>
      <c r="J277" s="40">
        <v>13767</v>
      </c>
      <c r="K277" s="40" t="s">
        <v>71</v>
      </c>
      <c r="L277" s="42">
        <v>30</v>
      </c>
      <c r="M277" s="40" t="s">
        <v>721</v>
      </c>
      <c r="N277" s="40">
        <v>2010</v>
      </c>
      <c r="O277" s="40" t="s">
        <v>83</v>
      </c>
      <c r="P277" s="40" t="s">
        <v>126</v>
      </c>
      <c r="Q277" s="40" t="s">
        <v>624</v>
      </c>
      <c r="R277" s="40">
        <v>10</v>
      </c>
      <c r="S277" s="40" t="b">
        <v>0</v>
      </c>
      <c r="T277" s="40" t="b">
        <v>1</v>
      </c>
      <c r="U277" s="42">
        <f t="shared" si="4"/>
        <v>30</v>
      </c>
      <c r="V277" s="42">
        <v>0</v>
      </c>
      <c r="W277" s="42">
        <v>30</v>
      </c>
    </row>
    <row r="278" spans="4:23" x14ac:dyDescent="0.15">
      <c r="D278" s="43" t="s">
        <v>1022</v>
      </c>
      <c r="E278" s="43" t="s">
        <v>1025</v>
      </c>
      <c r="F278" s="43" t="s">
        <v>1026</v>
      </c>
      <c r="G278" s="43">
        <v>8</v>
      </c>
      <c r="H278" s="44">
        <v>40513.449305555558</v>
      </c>
      <c r="I278" s="43">
        <v>3.75</v>
      </c>
      <c r="J278" s="43">
        <v>13767</v>
      </c>
      <c r="K278" s="43" t="s">
        <v>71</v>
      </c>
      <c r="L278" s="45">
        <v>30</v>
      </c>
      <c r="M278" s="43" t="s">
        <v>721</v>
      </c>
      <c r="N278" s="43">
        <v>2010</v>
      </c>
      <c r="O278" s="43" t="s">
        <v>83</v>
      </c>
      <c r="P278" s="43" t="s">
        <v>126</v>
      </c>
      <c r="Q278" s="43" t="s">
        <v>624</v>
      </c>
      <c r="R278" s="43">
        <v>10</v>
      </c>
      <c r="S278" s="43" t="b">
        <v>0</v>
      </c>
      <c r="T278" s="43" t="b">
        <v>1</v>
      </c>
      <c r="U278" s="45">
        <f t="shared" si="4"/>
        <v>30</v>
      </c>
      <c r="V278" s="45">
        <v>0</v>
      </c>
      <c r="W278" s="45">
        <v>30</v>
      </c>
    </row>
    <row r="279" spans="4:23" x14ac:dyDescent="0.15">
      <c r="D279" s="40" t="s">
        <v>1022</v>
      </c>
      <c r="E279" s="40" t="s">
        <v>239</v>
      </c>
      <c r="F279" s="40" t="s">
        <v>240</v>
      </c>
      <c r="G279" s="40">
        <v>8</v>
      </c>
      <c r="H279" s="41">
        <v>40513.449305555558</v>
      </c>
      <c r="I279" s="40">
        <v>3.75</v>
      </c>
      <c r="J279" s="40">
        <v>13767</v>
      </c>
      <c r="K279" s="40" t="s">
        <v>71</v>
      </c>
      <c r="L279" s="42">
        <v>30</v>
      </c>
      <c r="M279" s="40" t="s">
        <v>721</v>
      </c>
      <c r="N279" s="40">
        <v>2010</v>
      </c>
      <c r="O279" s="40" t="s">
        <v>83</v>
      </c>
      <c r="P279" s="40" t="s">
        <v>126</v>
      </c>
      <c r="Q279" s="40" t="s">
        <v>624</v>
      </c>
      <c r="R279" s="40">
        <v>10</v>
      </c>
      <c r="S279" s="40" t="b">
        <v>0</v>
      </c>
      <c r="T279" s="40" t="b">
        <v>1</v>
      </c>
      <c r="U279" s="42">
        <f t="shared" si="4"/>
        <v>30</v>
      </c>
      <c r="V279" s="42">
        <v>0</v>
      </c>
      <c r="W279" s="42">
        <v>30</v>
      </c>
    </row>
    <row r="280" spans="4:23" x14ac:dyDescent="0.15">
      <c r="D280" s="43" t="s">
        <v>1022</v>
      </c>
      <c r="E280" s="43" t="s">
        <v>203</v>
      </c>
      <c r="F280" s="43" t="s">
        <v>204</v>
      </c>
      <c r="G280" s="43">
        <v>8</v>
      </c>
      <c r="H280" s="44">
        <v>40513.449305555558</v>
      </c>
      <c r="I280" s="43">
        <v>3.95</v>
      </c>
      <c r="J280" s="43">
        <v>13767</v>
      </c>
      <c r="K280" s="43" t="s">
        <v>71</v>
      </c>
      <c r="L280" s="45">
        <v>31.6</v>
      </c>
      <c r="M280" s="43" t="s">
        <v>721</v>
      </c>
      <c r="N280" s="43">
        <v>2010</v>
      </c>
      <c r="O280" s="43" t="s">
        <v>83</v>
      </c>
      <c r="P280" s="43" t="s">
        <v>126</v>
      </c>
      <c r="Q280" s="43" t="s">
        <v>624</v>
      </c>
      <c r="R280" s="43">
        <v>10</v>
      </c>
      <c r="S280" s="43" t="b">
        <v>0</v>
      </c>
      <c r="T280" s="43" t="b">
        <v>1</v>
      </c>
      <c r="U280" s="45">
        <f t="shared" si="4"/>
        <v>31.6</v>
      </c>
      <c r="V280" s="45">
        <v>0</v>
      </c>
      <c r="W280" s="45">
        <v>31.6</v>
      </c>
    </row>
    <row r="281" spans="4:23" x14ac:dyDescent="0.15">
      <c r="D281" s="40" t="s">
        <v>1022</v>
      </c>
      <c r="E281" s="40" t="s">
        <v>435</v>
      </c>
      <c r="F281" s="40" t="s">
        <v>436</v>
      </c>
      <c r="G281" s="40">
        <v>48</v>
      </c>
      <c r="H281" s="41">
        <v>40513.449305555558</v>
      </c>
      <c r="I281" s="40">
        <v>2.1</v>
      </c>
      <c r="J281" s="40">
        <v>13767</v>
      </c>
      <c r="K281" s="40" t="s">
        <v>71</v>
      </c>
      <c r="L281" s="42">
        <v>100.8</v>
      </c>
      <c r="M281" s="40" t="s">
        <v>721</v>
      </c>
      <c r="N281" s="40">
        <v>2010</v>
      </c>
      <c r="O281" s="40" t="s">
        <v>83</v>
      </c>
      <c r="P281" s="40" t="s">
        <v>126</v>
      </c>
      <c r="Q281" s="40" t="s">
        <v>624</v>
      </c>
      <c r="R281" s="40">
        <v>10</v>
      </c>
      <c r="S281" s="40" t="b">
        <v>0</v>
      </c>
      <c r="T281" s="40" t="b">
        <v>1</v>
      </c>
      <c r="U281" s="42">
        <f t="shared" si="4"/>
        <v>100.8</v>
      </c>
      <c r="V281" s="42">
        <v>0</v>
      </c>
      <c r="W281" s="42">
        <v>100.8</v>
      </c>
    </row>
    <row r="282" spans="4:23" x14ac:dyDescent="0.15">
      <c r="D282" s="43" t="s">
        <v>1022</v>
      </c>
      <c r="E282" s="43" t="s">
        <v>419</v>
      </c>
      <c r="F282" s="43" t="s">
        <v>420</v>
      </c>
      <c r="G282" s="43">
        <v>48</v>
      </c>
      <c r="H282" s="44">
        <v>40513.449305555558</v>
      </c>
      <c r="I282" s="43">
        <v>2.1</v>
      </c>
      <c r="J282" s="43">
        <v>13767</v>
      </c>
      <c r="K282" s="43" t="s">
        <v>71</v>
      </c>
      <c r="L282" s="45">
        <v>100.8</v>
      </c>
      <c r="M282" s="43" t="s">
        <v>721</v>
      </c>
      <c r="N282" s="43">
        <v>2010</v>
      </c>
      <c r="O282" s="43" t="s">
        <v>83</v>
      </c>
      <c r="P282" s="43" t="s">
        <v>126</v>
      </c>
      <c r="Q282" s="43" t="s">
        <v>624</v>
      </c>
      <c r="R282" s="43">
        <v>10</v>
      </c>
      <c r="S282" s="43" t="b">
        <v>0</v>
      </c>
      <c r="T282" s="43" t="b">
        <v>1</v>
      </c>
      <c r="U282" s="45">
        <f t="shared" si="4"/>
        <v>100.8</v>
      </c>
      <c r="V282" s="45">
        <v>0</v>
      </c>
      <c r="W282" s="45">
        <v>100.8</v>
      </c>
    </row>
    <row r="283" spans="4:23" x14ac:dyDescent="0.15">
      <c r="D283" s="40" t="s">
        <v>1027</v>
      </c>
      <c r="E283" s="40" t="s">
        <v>168</v>
      </c>
      <c r="F283" s="40" t="s">
        <v>102</v>
      </c>
      <c r="G283" s="40">
        <v>6</v>
      </c>
      <c r="H283" s="41">
        <v>40513.45208333333</v>
      </c>
      <c r="I283" s="40">
        <v>2.5499999999999998</v>
      </c>
      <c r="J283" s="40">
        <v>17850</v>
      </c>
      <c r="K283" s="40" t="s">
        <v>71</v>
      </c>
      <c r="L283" s="42">
        <v>15.3</v>
      </c>
      <c r="M283" s="40" t="s">
        <v>721</v>
      </c>
      <c r="N283" s="40">
        <v>2010</v>
      </c>
      <c r="O283" s="40" t="s">
        <v>83</v>
      </c>
      <c r="P283" s="40" t="s">
        <v>126</v>
      </c>
      <c r="Q283" s="40" t="s">
        <v>624</v>
      </c>
      <c r="R283" s="40">
        <v>10</v>
      </c>
      <c r="S283" s="40" t="b">
        <v>0</v>
      </c>
      <c r="T283" s="40" t="b">
        <v>1</v>
      </c>
      <c r="U283" s="42">
        <f t="shared" si="4"/>
        <v>15.3</v>
      </c>
      <c r="V283" s="42">
        <v>0</v>
      </c>
      <c r="W283" s="42">
        <v>15.3</v>
      </c>
    </row>
    <row r="284" spans="4:23" x14ac:dyDescent="0.15">
      <c r="D284" s="43" t="s">
        <v>1027</v>
      </c>
      <c r="E284" s="43" t="s">
        <v>722</v>
      </c>
      <c r="F284" s="43" t="s">
        <v>723</v>
      </c>
      <c r="G284" s="43">
        <v>6</v>
      </c>
      <c r="H284" s="44">
        <v>40513.45208333333</v>
      </c>
      <c r="I284" s="43">
        <v>3.39</v>
      </c>
      <c r="J284" s="43">
        <v>17850</v>
      </c>
      <c r="K284" s="43" t="s">
        <v>71</v>
      </c>
      <c r="L284" s="45">
        <v>20.34</v>
      </c>
      <c r="M284" s="43" t="s">
        <v>721</v>
      </c>
      <c r="N284" s="43">
        <v>2010</v>
      </c>
      <c r="O284" s="43" t="s">
        <v>83</v>
      </c>
      <c r="P284" s="43" t="s">
        <v>126</v>
      </c>
      <c r="Q284" s="43" t="s">
        <v>624</v>
      </c>
      <c r="R284" s="43">
        <v>10</v>
      </c>
      <c r="S284" s="43" t="b">
        <v>0</v>
      </c>
      <c r="T284" s="43" t="b">
        <v>1</v>
      </c>
      <c r="U284" s="45">
        <f t="shared" si="4"/>
        <v>20.34</v>
      </c>
      <c r="V284" s="45">
        <v>0</v>
      </c>
      <c r="W284" s="45">
        <v>20.34</v>
      </c>
    </row>
    <row r="285" spans="4:23" x14ac:dyDescent="0.15">
      <c r="D285" s="40" t="s">
        <v>1027</v>
      </c>
      <c r="E285" s="40" t="s">
        <v>724</v>
      </c>
      <c r="F285" s="40" t="s">
        <v>725</v>
      </c>
      <c r="G285" s="40">
        <v>8</v>
      </c>
      <c r="H285" s="41">
        <v>40513.45208333333</v>
      </c>
      <c r="I285" s="40">
        <v>2.75</v>
      </c>
      <c r="J285" s="40">
        <v>17850</v>
      </c>
      <c r="K285" s="40" t="s">
        <v>71</v>
      </c>
      <c r="L285" s="42">
        <v>22</v>
      </c>
      <c r="M285" s="40" t="s">
        <v>721</v>
      </c>
      <c r="N285" s="40">
        <v>2010</v>
      </c>
      <c r="O285" s="40" t="s">
        <v>83</v>
      </c>
      <c r="P285" s="40" t="s">
        <v>126</v>
      </c>
      <c r="Q285" s="40" t="s">
        <v>624</v>
      </c>
      <c r="R285" s="40">
        <v>10</v>
      </c>
      <c r="S285" s="40" t="b">
        <v>0</v>
      </c>
      <c r="T285" s="40" t="b">
        <v>1</v>
      </c>
      <c r="U285" s="42">
        <f t="shared" si="4"/>
        <v>22</v>
      </c>
      <c r="V285" s="42">
        <v>0</v>
      </c>
      <c r="W285" s="42">
        <v>22</v>
      </c>
    </row>
    <row r="286" spans="4:23" x14ac:dyDescent="0.15">
      <c r="D286" s="43" t="s">
        <v>1027</v>
      </c>
      <c r="E286" s="43" t="s">
        <v>405</v>
      </c>
      <c r="F286" s="43" t="s">
        <v>406</v>
      </c>
      <c r="G286" s="43">
        <v>6</v>
      </c>
      <c r="H286" s="44">
        <v>40513.45208333333</v>
      </c>
      <c r="I286" s="43">
        <v>4.95</v>
      </c>
      <c r="J286" s="43">
        <v>17850</v>
      </c>
      <c r="K286" s="43" t="s">
        <v>71</v>
      </c>
      <c r="L286" s="45">
        <v>29.7</v>
      </c>
      <c r="M286" s="43" t="s">
        <v>721</v>
      </c>
      <c r="N286" s="43">
        <v>2010</v>
      </c>
      <c r="O286" s="43" t="s">
        <v>83</v>
      </c>
      <c r="P286" s="43" t="s">
        <v>126</v>
      </c>
      <c r="Q286" s="43" t="s">
        <v>624</v>
      </c>
      <c r="R286" s="43">
        <v>10</v>
      </c>
      <c r="S286" s="43" t="b">
        <v>0</v>
      </c>
      <c r="T286" s="43" t="b">
        <v>1</v>
      </c>
      <c r="U286" s="45">
        <f t="shared" si="4"/>
        <v>29.7</v>
      </c>
      <c r="V286" s="45">
        <v>0</v>
      </c>
      <c r="W286" s="45">
        <v>29.7</v>
      </c>
    </row>
    <row r="287" spans="4:23" x14ac:dyDescent="0.15">
      <c r="D287" s="40" t="s">
        <v>1027</v>
      </c>
      <c r="E287" s="40" t="s">
        <v>782</v>
      </c>
      <c r="F287" s="40" t="s">
        <v>783</v>
      </c>
      <c r="G287" s="40">
        <v>6</v>
      </c>
      <c r="H287" s="41">
        <v>40513.45208333333</v>
      </c>
      <c r="I287" s="40">
        <v>4.95</v>
      </c>
      <c r="J287" s="40">
        <v>17850</v>
      </c>
      <c r="K287" s="40" t="s">
        <v>71</v>
      </c>
      <c r="L287" s="42">
        <v>29.7</v>
      </c>
      <c r="M287" s="40" t="s">
        <v>721</v>
      </c>
      <c r="N287" s="40">
        <v>2010</v>
      </c>
      <c r="O287" s="40" t="s">
        <v>83</v>
      </c>
      <c r="P287" s="40" t="s">
        <v>126</v>
      </c>
      <c r="Q287" s="40" t="s">
        <v>624</v>
      </c>
      <c r="R287" s="40">
        <v>10</v>
      </c>
      <c r="S287" s="40" t="b">
        <v>0</v>
      </c>
      <c r="T287" s="40" t="b">
        <v>1</v>
      </c>
      <c r="U287" s="42">
        <f t="shared" si="4"/>
        <v>29.7</v>
      </c>
      <c r="V287" s="42">
        <v>0</v>
      </c>
      <c r="W287" s="42">
        <v>29.7</v>
      </c>
    </row>
    <row r="288" spans="4:23" x14ac:dyDescent="0.15">
      <c r="D288" s="43" t="s">
        <v>1027</v>
      </c>
      <c r="E288" s="43" t="s">
        <v>784</v>
      </c>
      <c r="F288" s="43" t="s">
        <v>785</v>
      </c>
      <c r="G288" s="43">
        <v>6</v>
      </c>
      <c r="H288" s="44">
        <v>40513.45208333333</v>
      </c>
      <c r="I288" s="43">
        <v>1.06</v>
      </c>
      <c r="J288" s="43">
        <v>17850</v>
      </c>
      <c r="K288" s="43" t="s">
        <v>71</v>
      </c>
      <c r="L288" s="45">
        <v>6.36</v>
      </c>
      <c r="M288" s="43" t="s">
        <v>721</v>
      </c>
      <c r="N288" s="43">
        <v>2010</v>
      </c>
      <c r="O288" s="43" t="s">
        <v>83</v>
      </c>
      <c r="P288" s="43" t="s">
        <v>126</v>
      </c>
      <c r="Q288" s="43" t="s">
        <v>624</v>
      </c>
      <c r="R288" s="43">
        <v>10</v>
      </c>
      <c r="S288" s="43" t="b">
        <v>0</v>
      </c>
      <c r="T288" s="43" t="b">
        <v>1</v>
      </c>
      <c r="U288" s="45">
        <f t="shared" si="4"/>
        <v>6.36</v>
      </c>
      <c r="V288" s="45">
        <v>0</v>
      </c>
      <c r="W288" s="45">
        <v>6.36</v>
      </c>
    </row>
    <row r="289" spans="4:23" x14ac:dyDescent="0.15">
      <c r="D289" s="40" t="s">
        <v>1027</v>
      </c>
      <c r="E289" s="40" t="s">
        <v>786</v>
      </c>
      <c r="F289" s="40" t="s">
        <v>787</v>
      </c>
      <c r="G289" s="40">
        <v>6</v>
      </c>
      <c r="H289" s="41">
        <v>40513.45208333333</v>
      </c>
      <c r="I289" s="40">
        <v>1.06</v>
      </c>
      <c r="J289" s="40">
        <v>17850</v>
      </c>
      <c r="K289" s="40" t="s">
        <v>71</v>
      </c>
      <c r="L289" s="42">
        <v>6.36</v>
      </c>
      <c r="M289" s="40" t="s">
        <v>721</v>
      </c>
      <c r="N289" s="40">
        <v>2010</v>
      </c>
      <c r="O289" s="40" t="s">
        <v>83</v>
      </c>
      <c r="P289" s="40" t="s">
        <v>126</v>
      </c>
      <c r="Q289" s="40" t="s">
        <v>624</v>
      </c>
      <c r="R289" s="40">
        <v>10</v>
      </c>
      <c r="S289" s="40" t="b">
        <v>0</v>
      </c>
      <c r="T289" s="40" t="b">
        <v>1</v>
      </c>
      <c r="U289" s="42">
        <f t="shared" si="4"/>
        <v>6.36</v>
      </c>
      <c r="V289" s="42">
        <v>0</v>
      </c>
      <c r="W289" s="42">
        <v>6.36</v>
      </c>
    </row>
    <row r="290" spans="4:23" x14ac:dyDescent="0.15">
      <c r="D290" s="43" t="s">
        <v>1027</v>
      </c>
      <c r="E290" s="43" t="s">
        <v>788</v>
      </c>
      <c r="F290" s="43" t="s">
        <v>789</v>
      </c>
      <c r="G290" s="43">
        <v>6</v>
      </c>
      <c r="H290" s="44">
        <v>40513.45208333333</v>
      </c>
      <c r="I290" s="43">
        <v>1.06</v>
      </c>
      <c r="J290" s="43">
        <v>17850</v>
      </c>
      <c r="K290" s="43" t="s">
        <v>71</v>
      </c>
      <c r="L290" s="45">
        <v>6.36</v>
      </c>
      <c r="M290" s="43" t="s">
        <v>721</v>
      </c>
      <c r="N290" s="43">
        <v>2010</v>
      </c>
      <c r="O290" s="43" t="s">
        <v>83</v>
      </c>
      <c r="P290" s="43" t="s">
        <v>126</v>
      </c>
      <c r="Q290" s="43" t="s">
        <v>624</v>
      </c>
      <c r="R290" s="43">
        <v>10</v>
      </c>
      <c r="S290" s="43" t="b">
        <v>0</v>
      </c>
      <c r="T290" s="43" t="b">
        <v>1</v>
      </c>
      <c r="U290" s="45">
        <f t="shared" si="4"/>
        <v>6.36</v>
      </c>
      <c r="V290" s="45">
        <v>0</v>
      </c>
      <c r="W290" s="45">
        <v>6.36</v>
      </c>
    </row>
    <row r="291" spans="4:23" x14ac:dyDescent="0.15">
      <c r="D291" s="40" t="s">
        <v>1027</v>
      </c>
      <c r="E291" s="40" t="s">
        <v>790</v>
      </c>
      <c r="F291" s="40" t="s">
        <v>791</v>
      </c>
      <c r="G291" s="40">
        <v>6</v>
      </c>
      <c r="H291" s="41">
        <v>40513.45208333333</v>
      </c>
      <c r="I291" s="40">
        <v>1.06</v>
      </c>
      <c r="J291" s="40">
        <v>17850</v>
      </c>
      <c r="K291" s="40" t="s">
        <v>71</v>
      </c>
      <c r="L291" s="42">
        <v>6.36</v>
      </c>
      <c r="M291" s="40" t="s">
        <v>721</v>
      </c>
      <c r="N291" s="40">
        <v>2010</v>
      </c>
      <c r="O291" s="40" t="s">
        <v>83</v>
      </c>
      <c r="P291" s="40" t="s">
        <v>126</v>
      </c>
      <c r="Q291" s="40" t="s">
        <v>624</v>
      </c>
      <c r="R291" s="40">
        <v>10</v>
      </c>
      <c r="S291" s="40" t="b">
        <v>0</v>
      </c>
      <c r="T291" s="40" t="b">
        <v>1</v>
      </c>
      <c r="U291" s="42">
        <f t="shared" si="4"/>
        <v>6.36</v>
      </c>
      <c r="V291" s="42">
        <v>0</v>
      </c>
      <c r="W291" s="42">
        <v>6.36</v>
      </c>
    </row>
    <row r="292" spans="4:23" x14ac:dyDescent="0.15">
      <c r="D292" s="43" t="s">
        <v>1027</v>
      </c>
      <c r="E292" s="43" t="s">
        <v>409</v>
      </c>
      <c r="F292" s="43" t="s">
        <v>410</v>
      </c>
      <c r="G292" s="43">
        <v>2</v>
      </c>
      <c r="H292" s="44">
        <v>40513.45208333333</v>
      </c>
      <c r="I292" s="43">
        <v>4.95</v>
      </c>
      <c r="J292" s="43">
        <v>17850</v>
      </c>
      <c r="K292" s="43" t="s">
        <v>71</v>
      </c>
      <c r="L292" s="45">
        <v>9.9</v>
      </c>
      <c r="M292" s="43" t="s">
        <v>721</v>
      </c>
      <c r="N292" s="43">
        <v>2010</v>
      </c>
      <c r="O292" s="43" t="s">
        <v>83</v>
      </c>
      <c r="P292" s="43" t="s">
        <v>126</v>
      </c>
      <c r="Q292" s="43" t="s">
        <v>624</v>
      </c>
      <c r="R292" s="43">
        <v>10</v>
      </c>
      <c r="S292" s="43" t="b">
        <v>0</v>
      </c>
      <c r="T292" s="43" t="b">
        <v>1</v>
      </c>
      <c r="U292" s="45">
        <f t="shared" si="4"/>
        <v>9.9</v>
      </c>
      <c r="V292" s="45">
        <v>0</v>
      </c>
      <c r="W292" s="45">
        <v>9.9</v>
      </c>
    </row>
    <row r="293" spans="4:23" x14ac:dyDescent="0.15">
      <c r="D293" s="40" t="s">
        <v>1027</v>
      </c>
      <c r="E293" s="40" t="s">
        <v>511</v>
      </c>
      <c r="F293" s="40" t="s">
        <v>512</v>
      </c>
      <c r="G293" s="40">
        <v>4</v>
      </c>
      <c r="H293" s="41">
        <v>40513.45208333333</v>
      </c>
      <c r="I293" s="40">
        <v>6.95</v>
      </c>
      <c r="J293" s="40">
        <v>17850</v>
      </c>
      <c r="K293" s="40" t="s">
        <v>71</v>
      </c>
      <c r="L293" s="42">
        <v>27.8</v>
      </c>
      <c r="M293" s="40" t="s">
        <v>721</v>
      </c>
      <c r="N293" s="40">
        <v>2010</v>
      </c>
      <c r="O293" s="40" t="s">
        <v>83</v>
      </c>
      <c r="P293" s="40" t="s">
        <v>126</v>
      </c>
      <c r="Q293" s="40" t="s">
        <v>624</v>
      </c>
      <c r="R293" s="40">
        <v>10</v>
      </c>
      <c r="S293" s="40" t="b">
        <v>0</v>
      </c>
      <c r="T293" s="40" t="b">
        <v>1</v>
      </c>
      <c r="U293" s="42">
        <f t="shared" si="4"/>
        <v>27.8</v>
      </c>
      <c r="V293" s="42">
        <v>0</v>
      </c>
      <c r="W293" s="42">
        <v>27.8</v>
      </c>
    </row>
    <row r="294" spans="4:23" x14ac:dyDescent="0.15">
      <c r="D294" s="43" t="s">
        <v>1027</v>
      </c>
      <c r="E294" s="43" t="s">
        <v>287</v>
      </c>
      <c r="F294" s="43" t="s">
        <v>288</v>
      </c>
      <c r="G294" s="43">
        <v>6</v>
      </c>
      <c r="H294" s="44">
        <v>40513.45208333333</v>
      </c>
      <c r="I294" s="43">
        <v>2.1</v>
      </c>
      <c r="J294" s="43">
        <v>17850</v>
      </c>
      <c r="K294" s="43" t="s">
        <v>71</v>
      </c>
      <c r="L294" s="45">
        <v>12.6</v>
      </c>
      <c r="M294" s="43" t="s">
        <v>721</v>
      </c>
      <c r="N294" s="43">
        <v>2010</v>
      </c>
      <c r="O294" s="43" t="s">
        <v>83</v>
      </c>
      <c r="P294" s="43" t="s">
        <v>126</v>
      </c>
      <c r="Q294" s="43" t="s">
        <v>624</v>
      </c>
      <c r="R294" s="43">
        <v>10</v>
      </c>
      <c r="S294" s="43" t="b">
        <v>0</v>
      </c>
      <c r="T294" s="43" t="b">
        <v>1</v>
      </c>
      <c r="U294" s="45">
        <f t="shared" si="4"/>
        <v>12.6</v>
      </c>
      <c r="V294" s="45">
        <v>0</v>
      </c>
      <c r="W294" s="45">
        <v>12.6</v>
      </c>
    </row>
    <row r="295" spans="4:23" x14ac:dyDescent="0.15">
      <c r="D295" s="40" t="s">
        <v>1027</v>
      </c>
      <c r="E295" s="40" t="s">
        <v>335</v>
      </c>
      <c r="F295" s="40" t="s">
        <v>336</v>
      </c>
      <c r="G295" s="40">
        <v>12</v>
      </c>
      <c r="H295" s="41">
        <v>40513.45208333333</v>
      </c>
      <c r="I295" s="40">
        <v>2.5499999999999998</v>
      </c>
      <c r="J295" s="40">
        <v>17850</v>
      </c>
      <c r="K295" s="40" t="s">
        <v>71</v>
      </c>
      <c r="L295" s="42">
        <v>30.6</v>
      </c>
      <c r="M295" s="40" t="s">
        <v>721</v>
      </c>
      <c r="N295" s="40">
        <v>2010</v>
      </c>
      <c r="O295" s="40" t="s">
        <v>83</v>
      </c>
      <c r="P295" s="40" t="s">
        <v>126</v>
      </c>
      <c r="Q295" s="40" t="s">
        <v>624</v>
      </c>
      <c r="R295" s="40">
        <v>10</v>
      </c>
      <c r="S295" s="40" t="b">
        <v>0</v>
      </c>
      <c r="T295" s="40" t="b">
        <v>1</v>
      </c>
      <c r="U295" s="42">
        <f t="shared" si="4"/>
        <v>30.6</v>
      </c>
      <c r="V295" s="42">
        <v>0</v>
      </c>
      <c r="W295" s="42">
        <v>30.6</v>
      </c>
    </row>
    <row r="296" spans="4:23" x14ac:dyDescent="0.15">
      <c r="D296" s="43" t="s">
        <v>1027</v>
      </c>
      <c r="E296" s="43" t="s">
        <v>399</v>
      </c>
      <c r="F296" s="43" t="s">
        <v>400</v>
      </c>
      <c r="G296" s="43">
        <v>6</v>
      </c>
      <c r="H296" s="44">
        <v>40513.45208333333</v>
      </c>
      <c r="I296" s="43">
        <v>3.39</v>
      </c>
      <c r="J296" s="43">
        <v>17850</v>
      </c>
      <c r="K296" s="43" t="s">
        <v>71</v>
      </c>
      <c r="L296" s="45">
        <v>20.34</v>
      </c>
      <c r="M296" s="43" t="s">
        <v>721</v>
      </c>
      <c r="N296" s="43">
        <v>2010</v>
      </c>
      <c r="O296" s="43" t="s">
        <v>83</v>
      </c>
      <c r="P296" s="43" t="s">
        <v>126</v>
      </c>
      <c r="Q296" s="43" t="s">
        <v>624</v>
      </c>
      <c r="R296" s="43">
        <v>10</v>
      </c>
      <c r="S296" s="43" t="b">
        <v>0</v>
      </c>
      <c r="T296" s="43" t="b">
        <v>1</v>
      </c>
      <c r="U296" s="45">
        <f t="shared" si="4"/>
        <v>20.34</v>
      </c>
      <c r="V296" s="45">
        <v>0</v>
      </c>
      <c r="W296" s="45">
        <v>20.34</v>
      </c>
    </row>
    <row r="297" spans="4:23" x14ac:dyDescent="0.15">
      <c r="D297" s="40" t="s">
        <v>1027</v>
      </c>
      <c r="E297" s="40" t="s">
        <v>305</v>
      </c>
      <c r="F297" s="40" t="s">
        <v>306</v>
      </c>
      <c r="G297" s="40">
        <v>6</v>
      </c>
      <c r="H297" s="41">
        <v>40513.45208333333</v>
      </c>
      <c r="I297" s="40">
        <v>3.39</v>
      </c>
      <c r="J297" s="40">
        <v>17850</v>
      </c>
      <c r="K297" s="40" t="s">
        <v>71</v>
      </c>
      <c r="L297" s="42">
        <v>20.34</v>
      </c>
      <c r="M297" s="40" t="s">
        <v>721</v>
      </c>
      <c r="N297" s="40">
        <v>2010</v>
      </c>
      <c r="O297" s="40" t="s">
        <v>83</v>
      </c>
      <c r="P297" s="40" t="s">
        <v>126</v>
      </c>
      <c r="Q297" s="40" t="s">
        <v>624</v>
      </c>
      <c r="R297" s="40">
        <v>10</v>
      </c>
      <c r="S297" s="40" t="b">
        <v>0</v>
      </c>
      <c r="T297" s="40" t="b">
        <v>1</v>
      </c>
      <c r="U297" s="42">
        <f t="shared" si="4"/>
        <v>20.34</v>
      </c>
      <c r="V297" s="42">
        <v>0</v>
      </c>
      <c r="W297" s="42">
        <v>20.34</v>
      </c>
    </row>
    <row r="298" spans="4:23" x14ac:dyDescent="0.15">
      <c r="D298" s="43" t="s">
        <v>1027</v>
      </c>
      <c r="E298" s="43" t="s">
        <v>417</v>
      </c>
      <c r="F298" s="43" t="s">
        <v>418</v>
      </c>
      <c r="G298" s="43">
        <v>2</v>
      </c>
      <c r="H298" s="44">
        <v>40513.45208333333</v>
      </c>
      <c r="I298" s="43">
        <v>7.65</v>
      </c>
      <c r="J298" s="43">
        <v>17850</v>
      </c>
      <c r="K298" s="43" t="s">
        <v>71</v>
      </c>
      <c r="L298" s="45">
        <v>15.3</v>
      </c>
      <c r="M298" s="43" t="s">
        <v>721</v>
      </c>
      <c r="N298" s="43">
        <v>2010</v>
      </c>
      <c r="O298" s="43" t="s">
        <v>83</v>
      </c>
      <c r="P298" s="43" t="s">
        <v>126</v>
      </c>
      <c r="Q298" s="43" t="s">
        <v>624</v>
      </c>
      <c r="R298" s="43">
        <v>10</v>
      </c>
      <c r="S298" s="43" t="b">
        <v>0</v>
      </c>
      <c r="T298" s="43" t="b">
        <v>1</v>
      </c>
      <c r="U298" s="45">
        <f t="shared" si="4"/>
        <v>15.3</v>
      </c>
      <c r="V298" s="45">
        <v>0</v>
      </c>
      <c r="W298" s="45">
        <v>15.3</v>
      </c>
    </row>
    <row r="299" spans="4:23" x14ac:dyDescent="0.15">
      <c r="D299" s="40" t="s">
        <v>1027</v>
      </c>
      <c r="E299" s="40" t="s">
        <v>1028</v>
      </c>
      <c r="F299" s="40" t="s">
        <v>1029</v>
      </c>
      <c r="G299" s="40">
        <v>2</v>
      </c>
      <c r="H299" s="41">
        <v>40513.45208333333</v>
      </c>
      <c r="I299" s="40">
        <v>35.75</v>
      </c>
      <c r="J299" s="40">
        <v>17850</v>
      </c>
      <c r="K299" s="40" t="s">
        <v>71</v>
      </c>
      <c r="L299" s="42">
        <v>71.5</v>
      </c>
      <c r="M299" s="40" t="s">
        <v>721</v>
      </c>
      <c r="N299" s="40">
        <v>2010</v>
      </c>
      <c r="O299" s="40" t="s">
        <v>83</v>
      </c>
      <c r="P299" s="40" t="s">
        <v>126</v>
      </c>
      <c r="Q299" s="40" t="s">
        <v>624</v>
      </c>
      <c r="R299" s="40">
        <v>10</v>
      </c>
      <c r="S299" s="40" t="b">
        <v>0</v>
      </c>
      <c r="T299" s="40" t="b">
        <v>1</v>
      </c>
      <c r="U299" s="42">
        <f t="shared" si="4"/>
        <v>71.5</v>
      </c>
      <c r="V299" s="42">
        <v>0</v>
      </c>
      <c r="W299" s="42">
        <v>71.5</v>
      </c>
    </row>
    <row r="300" spans="4:23" x14ac:dyDescent="0.15">
      <c r="D300" s="43" t="s">
        <v>1027</v>
      </c>
      <c r="E300" s="43" t="s">
        <v>726</v>
      </c>
      <c r="F300" s="43" t="s">
        <v>727</v>
      </c>
      <c r="G300" s="43">
        <v>6</v>
      </c>
      <c r="H300" s="44">
        <v>40513.45208333333</v>
      </c>
      <c r="I300" s="43">
        <v>4.25</v>
      </c>
      <c r="J300" s="43">
        <v>17850</v>
      </c>
      <c r="K300" s="43" t="s">
        <v>71</v>
      </c>
      <c r="L300" s="45">
        <v>25.5</v>
      </c>
      <c r="M300" s="43" t="s">
        <v>721</v>
      </c>
      <c r="N300" s="43">
        <v>2010</v>
      </c>
      <c r="O300" s="43" t="s">
        <v>83</v>
      </c>
      <c r="P300" s="43" t="s">
        <v>126</v>
      </c>
      <c r="Q300" s="43" t="s">
        <v>624</v>
      </c>
      <c r="R300" s="43">
        <v>10</v>
      </c>
      <c r="S300" s="43" t="b">
        <v>0</v>
      </c>
      <c r="T300" s="43" t="b">
        <v>1</v>
      </c>
      <c r="U300" s="45">
        <f t="shared" si="4"/>
        <v>25.5</v>
      </c>
      <c r="V300" s="45">
        <v>0</v>
      </c>
      <c r="W300" s="45">
        <v>25.5</v>
      </c>
    </row>
    <row r="301" spans="4:23" x14ac:dyDescent="0.15">
      <c r="D301" s="40" t="s">
        <v>1030</v>
      </c>
      <c r="E301" s="40" t="s">
        <v>1031</v>
      </c>
      <c r="F301" s="40" t="s">
        <v>1032</v>
      </c>
      <c r="G301" s="40">
        <v>12</v>
      </c>
      <c r="H301" s="41">
        <v>40513.45208333333</v>
      </c>
      <c r="I301" s="40">
        <v>4.6500000000000004</v>
      </c>
      <c r="J301" s="40">
        <v>17924</v>
      </c>
      <c r="K301" s="40" t="s">
        <v>71</v>
      </c>
      <c r="L301" s="42">
        <v>55.8</v>
      </c>
      <c r="M301" s="40" t="s">
        <v>721</v>
      </c>
      <c r="N301" s="40">
        <v>2010</v>
      </c>
      <c r="O301" s="40" t="s">
        <v>83</v>
      </c>
      <c r="P301" s="40" t="s">
        <v>126</v>
      </c>
      <c r="Q301" s="40" t="s">
        <v>624</v>
      </c>
      <c r="R301" s="40">
        <v>10</v>
      </c>
      <c r="S301" s="40" t="b">
        <v>0</v>
      </c>
      <c r="T301" s="40" t="b">
        <v>1</v>
      </c>
      <c r="U301" s="42">
        <f t="shared" si="4"/>
        <v>55.8</v>
      </c>
      <c r="V301" s="42">
        <v>0</v>
      </c>
      <c r="W301" s="42">
        <v>55.8</v>
      </c>
    </row>
    <row r="302" spans="4:23" x14ac:dyDescent="0.15">
      <c r="D302" s="43" t="s">
        <v>1030</v>
      </c>
      <c r="E302" s="43" t="s">
        <v>892</v>
      </c>
      <c r="F302" s="43" t="s">
        <v>893</v>
      </c>
      <c r="G302" s="43">
        <v>48</v>
      </c>
      <c r="H302" s="44">
        <v>40513.45208333333</v>
      </c>
      <c r="I302" s="43">
        <v>4.6500000000000004</v>
      </c>
      <c r="J302" s="43">
        <v>17924</v>
      </c>
      <c r="K302" s="43" t="s">
        <v>71</v>
      </c>
      <c r="L302" s="45">
        <v>223.2</v>
      </c>
      <c r="M302" s="43" t="s">
        <v>721</v>
      </c>
      <c r="N302" s="43">
        <v>2010</v>
      </c>
      <c r="O302" s="43" t="s">
        <v>83</v>
      </c>
      <c r="P302" s="43" t="s">
        <v>126</v>
      </c>
      <c r="Q302" s="43" t="s">
        <v>624</v>
      </c>
      <c r="R302" s="43">
        <v>10</v>
      </c>
      <c r="S302" s="43" t="b">
        <v>0</v>
      </c>
      <c r="T302" s="43" t="b">
        <v>1</v>
      </c>
      <c r="U302" s="45">
        <f t="shared" si="4"/>
        <v>223.2</v>
      </c>
      <c r="V302" s="45">
        <v>0</v>
      </c>
      <c r="W302" s="45">
        <v>223.2</v>
      </c>
    </row>
    <row r="303" spans="4:23" x14ac:dyDescent="0.15">
      <c r="D303" s="40" t="s">
        <v>1033</v>
      </c>
      <c r="E303" s="40" t="s">
        <v>986</v>
      </c>
      <c r="F303" s="40" t="s">
        <v>987</v>
      </c>
      <c r="G303" s="40">
        <v>24</v>
      </c>
      <c r="H303" s="41">
        <v>40513.452777777777</v>
      </c>
      <c r="I303" s="40">
        <v>0.28999999999999998</v>
      </c>
      <c r="J303" s="40">
        <v>13448</v>
      </c>
      <c r="K303" s="40" t="s">
        <v>71</v>
      </c>
      <c r="L303" s="42">
        <v>6.9599999999999991</v>
      </c>
      <c r="M303" s="40" t="s">
        <v>721</v>
      </c>
      <c r="N303" s="40">
        <v>2010</v>
      </c>
      <c r="O303" s="40" t="s">
        <v>83</v>
      </c>
      <c r="P303" s="40" t="s">
        <v>126</v>
      </c>
      <c r="Q303" s="40" t="s">
        <v>624</v>
      </c>
      <c r="R303" s="40">
        <v>10</v>
      </c>
      <c r="S303" s="40" t="b">
        <v>0</v>
      </c>
      <c r="T303" s="40" t="b">
        <v>1</v>
      </c>
      <c r="U303" s="42">
        <f t="shared" si="4"/>
        <v>6.9599999999999991</v>
      </c>
      <c r="V303" s="42">
        <v>0</v>
      </c>
      <c r="W303" s="42">
        <v>6.9599999999999991</v>
      </c>
    </row>
    <row r="304" spans="4:23" x14ac:dyDescent="0.15">
      <c r="D304" s="43" t="s">
        <v>1033</v>
      </c>
      <c r="E304" s="43" t="s">
        <v>1034</v>
      </c>
      <c r="F304" s="43" t="s">
        <v>1035</v>
      </c>
      <c r="G304" s="43">
        <v>6</v>
      </c>
      <c r="H304" s="44">
        <v>40513.452777777777</v>
      </c>
      <c r="I304" s="43">
        <v>2.95</v>
      </c>
      <c r="J304" s="43">
        <v>13448</v>
      </c>
      <c r="K304" s="43" t="s">
        <v>71</v>
      </c>
      <c r="L304" s="45">
        <v>17.7</v>
      </c>
      <c r="M304" s="43" t="s">
        <v>721</v>
      </c>
      <c r="N304" s="43">
        <v>2010</v>
      </c>
      <c r="O304" s="43" t="s">
        <v>83</v>
      </c>
      <c r="P304" s="43" t="s">
        <v>126</v>
      </c>
      <c r="Q304" s="43" t="s">
        <v>624</v>
      </c>
      <c r="R304" s="43">
        <v>10</v>
      </c>
      <c r="S304" s="43" t="b">
        <v>0</v>
      </c>
      <c r="T304" s="43" t="b">
        <v>1</v>
      </c>
      <c r="U304" s="45">
        <f t="shared" si="4"/>
        <v>17.7</v>
      </c>
      <c r="V304" s="45">
        <v>0</v>
      </c>
      <c r="W304" s="45">
        <v>17.7</v>
      </c>
    </row>
    <row r="305" spans="4:23" x14ac:dyDescent="0.15">
      <c r="D305" s="40" t="s">
        <v>1033</v>
      </c>
      <c r="E305" s="40" t="s">
        <v>1036</v>
      </c>
      <c r="F305" s="40" t="s">
        <v>1037</v>
      </c>
      <c r="G305" s="40">
        <v>4</v>
      </c>
      <c r="H305" s="41">
        <v>40513.452777777777</v>
      </c>
      <c r="I305" s="40">
        <v>6.75</v>
      </c>
      <c r="J305" s="40">
        <v>13448</v>
      </c>
      <c r="K305" s="40" t="s">
        <v>71</v>
      </c>
      <c r="L305" s="42">
        <v>27</v>
      </c>
      <c r="M305" s="40" t="s">
        <v>721</v>
      </c>
      <c r="N305" s="40">
        <v>2010</v>
      </c>
      <c r="O305" s="40" t="s">
        <v>83</v>
      </c>
      <c r="P305" s="40" t="s">
        <v>126</v>
      </c>
      <c r="Q305" s="40" t="s">
        <v>624</v>
      </c>
      <c r="R305" s="40">
        <v>10</v>
      </c>
      <c r="S305" s="40" t="b">
        <v>0</v>
      </c>
      <c r="T305" s="40" t="b">
        <v>1</v>
      </c>
      <c r="U305" s="42">
        <f t="shared" si="4"/>
        <v>27</v>
      </c>
      <c r="V305" s="42">
        <v>0</v>
      </c>
      <c r="W305" s="42">
        <v>27</v>
      </c>
    </row>
    <row r="306" spans="4:23" x14ac:dyDescent="0.15">
      <c r="D306" s="43" t="s">
        <v>1033</v>
      </c>
      <c r="E306" s="43" t="s">
        <v>837</v>
      </c>
      <c r="F306" s="43" t="s">
        <v>838</v>
      </c>
      <c r="G306" s="43">
        <v>8</v>
      </c>
      <c r="H306" s="44">
        <v>40513.452777777777</v>
      </c>
      <c r="I306" s="43">
        <v>2.5499999999999998</v>
      </c>
      <c r="J306" s="43">
        <v>13448</v>
      </c>
      <c r="K306" s="43" t="s">
        <v>71</v>
      </c>
      <c r="L306" s="45">
        <v>20.399999999999999</v>
      </c>
      <c r="M306" s="43" t="s">
        <v>721</v>
      </c>
      <c r="N306" s="43">
        <v>2010</v>
      </c>
      <c r="O306" s="43" t="s">
        <v>83</v>
      </c>
      <c r="P306" s="43" t="s">
        <v>126</v>
      </c>
      <c r="Q306" s="43" t="s">
        <v>624</v>
      </c>
      <c r="R306" s="43">
        <v>10</v>
      </c>
      <c r="S306" s="43" t="b">
        <v>0</v>
      </c>
      <c r="T306" s="43" t="b">
        <v>1</v>
      </c>
      <c r="U306" s="45">
        <f t="shared" si="4"/>
        <v>20.399999999999999</v>
      </c>
      <c r="V306" s="45">
        <v>0</v>
      </c>
      <c r="W306" s="45">
        <v>20.399999999999999</v>
      </c>
    </row>
    <row r="307" spans="4:23" x14ac:dyDescent="0.15">
      <c r="D307" s="40" t="s">
        <v>1033</v>
      </c>
      <c r="E307" s="40" t="s">
        <v>417</v>
      </c>
      <c r="F307" s="40" t="s">
        <v>418</v>
      </c>
      <c r="G307" s="40">
        <v>6</v>
      </c>
      <c r="H307" s="41">
        <v>40513.452777777777</v>
      </c>
      <c r="I307" s="40">
        <v>8.5</v>
      </c>
      <c r="J307" s="40">
        <v>13448</v>
      </c>
      <c r="K307" s="40" t="s">
        <v>71</v>
      </c>
      <c r="L307" s="42">
        <v>51</v>
      </c>
      <c r="M307" s="40" t="s">
        <v>721</v>
      </c>
      <c r="N307" s="40">
        <v>2010</v>
      </c>
      <c r="O307" s="40" t="s">
        <v>83</v>
      </c>
      <c r="P307" s="40" t="s">
        <v>126</v>
      </c>
      <c r="Q307" s="40" t="s">
        <v>624</v>
      </c>
      <c r="R307" s="40">
        <v>10</v>
      </c>
      <c r="S307" s="40" t="b">
        <v>0</v>
      </c>
      <c r="T307" s="40" t="b">
        <v>1</v>
      </c>
      <c r="U307" s="42">
        <f t="shared" si="4"/>
        <v>51</v>
      </c>
      <c r="V307" s="42">
        <v>0</v>
      </c>
      <c r="W307" s="42">
        <v>51</v>
      </c>
    </row>
    <row r="308" spans="4:23" x14ac:dyDescent="0.15">
      <c r="D308" s="43" t="s">
        <v>1033</v>
      </c>
      <c r="E308" s="43" t="s">
        <v>275</v>
      </c>
      <c r="F308" s="43" t="s">
        <v>276</v>
      </c>
      <c r="G308" s="43">
        <v>2</v>
      </c>
      <c r="H308" s="44">
        <v>40513.452777777777</v>
      </c>
      <c r="I308" s="43">
        <v>7.95</v>
      </c>
      <c r="J308" s="43">
        <v>13448</v>
      </c>
      <c r="K308" s="43" t="s">
        <v>71</v>
      </c>
      <c r="L308" s="45">
        <v>15.9</v>
      </c>
      <c r="M308" s="43" t="s">
        <v>721</v>
      </c>
      <c r="N308" s="43">
        <v>2010</v>
      </c>
      <c r="O308" s="43" t="s">
        <v>83</v>
      </c>
      <c r="P308" s="43" t="s">
        <v>126</v>
      </c>
      <c r="Q308" s="43" t="s">
        <v>624</v>
      </c>
      <c r="R308" s="43">
        <v>10</v>
      </c>
      <c r="S308" s="43" t="b">
        <v>0</v>
      </c>
      <c r="T308" s="43" t="b">
        <v>1</v>
      </c>
      <c r="U308" s="45">
        <f t="shared" si="4"/>
        <v>15.9</v>
      </c>
      <c r="V308" s="45">
        <v>0</v>
      </c>
      <c r="W308" s="45">
        <v>15.9</v>
      </c>
    </row>
    <row r="309" spans="4:23" x14ac:dyDescent="0.15">
      <c r="D309" s="40" t="s">
        <v>1033</v>
      </c>
      <c r="E309" s="40" t="s">
        <v>731</v>
      </c>
      <c r="F309" s="40" t="s">
        <v>1017</v>
      </c>
      <c r="G309" s="40">
        <v>12</v>
      </c>
      <c r="H309" s="41">
        <v>40513.452777777777</v>
      </c>
      <c r="I309" s="40">
        <v>2.1</v>
      </c>
      <c r="J309" s="40">
        <v>13448</v>
      </c>
      <c r="K309" s="40" t="s">
        <v>71</v>
      </c>
      <c r="L309" s="42">
        <v>25.2</v>
      </c>
      <c r="M309" s="40" t="s">
        <v>721</v>
      </c>
      <c r="N309" s="40">
        <v>2010</v>
      </c>
      <c r="O309" s="40" t="s">
        <v>83</v>
      </c>
      <c r="P309" s="40" t="s">
        <v>126</v>
      </c>
      <c r="Q309" s="40" t="s">
        <v>624</v>
      </c>
      <c r="R309" s="40">
        <v>10</v>
      </c>
      <c r="S309" s="40" t="b">
        <v>0</v>
      </c>
      <c r="T309" s="40" t="b">
        <v>1</v>
      </c>
      <c r="U309" s="42">
        <f t="shared" si="4"/>
        <v>25.2</v>
      </c>
      <c r="V309" s="42">
        <v>0</v>
      </c>
      <c r="W309" s="42">
        <v>25.2</v>
      </c>
    </row>
    <row r="310" spans="4:23" x14ac:dyDescent="0.15">
      <c r="D310" s="43" t="s">
        <v>1033</v>
      </c>
      <c r="E310" s="43" t="s">
        <v>419</v>
      </c>
      <c r="F310" s="43" t="s">
        <v>420</v>
      </c>
      <c r="G310" s="43">
        <v>12</v>
      </c>
      <c r="H310" s="44">
        <v>40513.452777777777</v>
      </c>
      <c r="I310" s="43">
        <v>2.1</v>
      </c>
      <c r="J310" s="43">
        <v>13448</v>
      </c>
      <c r="K310" s="43" t="s">
        <v>71</v>
      </c>
      <c r="L310" s="45">
        <v>25.2</v>
      </c>
      <c r="M310" s="43" t="s">
        <v>721</v>
      </c>
      <c r="N310" s="43">
        <v>2010</v>
      </c>
      <c r="O310" s="43" t="s">
        <v>83</v>
      </c>
      <c r="P310" s="43" t="s">
        <v>126</v>
      </c>
      <c r="Q310" s="43" t="s">
        <v>624</v>
      </c>
      <c r="R310" s="43">
        <v>10</v>
      </c>
      <c r="S310" s="43" t="b">
        <v>0</v>
      </c>
      <c r="T310" s="43" t="b">
        <v>1</v>
      </c>
      <c r="U310" s="45">
        <f t="shared" si="4"/>
        <v>25.2</v>
      </c>
      <c r="V310" s="45">
        <v>0</v>
      </c>
      <c r="W310" s="45">
        <v>25.2</v>
      </c>
    </row>
    <row r="311" spans="4:23" x14ac:dyDescent="0.15">
      <c r="D311" s="40" t="s">
        <v>1033</v>
      </c>
      <c r="E311" s="40" t="s">
        <v>361</v>
      </c>
      <c r="F311" s="40" t="s">
        <v>362</v>
      </c>
      <c r="G311" s="40">
        <v>12</v>
      </c>
      <c r="H311" s="41">
        <v>40513.452777777777</v>
      </c>
      <c r="I311" s="40">
        <v>2.1</v>
      </c>
      <c r="J311" s="40">
        <v>13448</v>
      </c>
      <c r="K311" s="40" t="s">
        <v>71</v>
      </c>
      <c r="L311" s="42">
        <v>25.2</v>
      </c>
      <c r="M311" s="40" t="s">
        <v>721</v>
      </c>
      <c r="N311" s="40">
        <v>2010</v>
      </c>
      <c r="O311" s="40" t="s">
        <v>83</v>
      </c>
      <c r="P311" s="40" t="s">
        <v>126</v>
      </c>
      <c r="Q311" s="40" t="s">
        <v>624</v>
      </c>
      <c r="R311" s="40">
        <v>10</v>
      </c>
      <c r="S311" s="40" t="b">
        <v>0</v>
      </c>
      <c r="T311" s="40" t="b">
        <v>1</v>
      </c>
      <c r="U311" s="42">
        <f t="shared" si="4"/>
        <v>25.2</v>
      </c>
      <c r="V311" s="42">
        <v>0</v>
      </c>
      <c r="W311" s="42">
        <v>25.2</v>
      </c>
    </row>
    <row r="312" spans="4:23" x14ac:dyDescent="0.15">
      <c r="D312" s="43" t="s">
        <v>1033</v>
      </c>
      <c r="E312" s="43" t="s">
        <v>433</v>
      </c>
      <c r="F312" s="43" t="s">
        <v>434</v>
      </c>
      <c r="G312" s="43">
        <v>12</v>
      </c>
      <c r="H312" s="44">
        <v>40513.452777777777</v>
      </c>
      <c r="I312" s="43">
        <v>1.25</v>
      </c>
      <c r="J312" s="43">
        <v>13448</v>
      </c>
      <c r="K312" s="43" t="s">
        <v>71</v>
      </c>
      <c r="L312" s="45">
        <v>15</v>
      </c>
      <c r="M312" s="43" t="s">
        <v>721</v>
      </c>
      <c r="N312" s="43">
        <v>2010</v>
      </c>
      <c r="O312" s="43" t="s">
        <v>83</v>
      </c>
      <c r="P312" s="43" t="s">
        <v>126</v>
      </c>
      <c r="Q312" s="43" t="s">
        <v>624</v>
      </c>
      <c r="R312" s="43">
        <v>10</v>
      </c>
      <c r="S312" s="43" t="b">
        <v>0</v>
      </c>
      <c r="T312" s="43" t="b">
        <v>1</v>
      </c>
      <c r="U312" s="45">
        <f t="shared" si="4"/>
        <v>15</v>
      </c>
      <c r="V312" s="45">
        <v>0</v>
      </c>
      <c r="W312" s="45">
        <v>15</v>
      </c>
    </row>
    <row r="313" spans="4:23" x14ac:dyDescent="0.15">
      <c r="D313" s="40" t="s">
        <v>1033</v>
      </c>
      <c r="E313" s="40" t="s">
        <v>1038</v>
      </c>
      <c r="F313" s="40" t="s">
        <v>1039</v>
      </c>
      <c r="G313" s="40">
        <v>12</v>
      </c>
      <c r="H313" s="41">
        <v>40513.452777777777</v>
      </c>
      <c r="I313" s="40">
        <v>1.65</v>
      </c>
      <c r="J313" s="40">
        <v>13448</v>
      </c>
      <c r="K313" s="40" t="s">
        <v>71</v>
      </c>
      <c r="L313" s="42">
        <v>19.8</v>
      </c>
      <c r="M313" s="40" t="s">
        <v>721</v>
      </c>
      <c r="N313" s="40">
        <v>2010</v>
      </c>
      <c r="O313" s="40" t="s">
        <v>83</v>
      </c>
      <c r="P313" s="40" t="s">
        <v>126</v>
      </c>
      <c r="Q313" s="40" t="s">
        <v>624</v>
      </c>
      <c r="R313" s="40">
        <v>10</v>
      </c>
      <c r="S313" s="40" t="b">
        <v>0</v>
      </c>
      <c r="T313" s="40" t="b">
        <v>1</v>
      </c>
      <c r="U313" s="42">
        <f t="shared" si="4"/>
        <v>19.8</v>
      </c>
      <c r="V313" s="42">
        <v>0</v>
      </c>
      <c r="W313" s="42">
        <v>19.8</v>
      </c>
    </row>
    <row r="314" spans="4:23" x14ac:dyDescent="0.15">
      <c r="D314" s="43" t="s">
        <v>1033</v>
      </c>
      <c r="E314" s="43" t="s">
        <v>1040</v>
      </c>
      <c r="F314" s="43" t="s">
        <v>1041</v>
      </c>
      <c r="G314" s="43">
        <v>6</v>
      </c>
      <c r="H314" s="44">
        <v>40513.452777777777</v>
      </c>
      <c r="I314" s="43">
        <v>3.35</v>
      </c>
      <c r="J314" s="43">
        <v>13448</v>
      </c>
      <c r="K314" s="43" t="s">
        <v>71</v>
      </c>
      <c r="L314" s="45">
        <v>20.100000000000001</v>
      </c>
      <c r="M314" s="43" t="s">
        <v>721</v>
      </c>
      <c r="N314" s="43">
        <v>2010</v>
      </c>
      <c r="O314" s="43" t="s">
        <v>83</v>
      </c>
      <c r="P314" s="43" t="s">
        <v>126</v>
      </c>
      <c r="Q314" s="43" t="s">
        <v>624</v>
      </c>
      <c r="R314" s="43">
        <v>10</v>
      </c>
      <c r="S314" s="43" t="b">
        <v>0</v>
      </c>
      <c r="T314" s="43" t="b">
        <v>1</v>
      </c>
      <c r="U314" s="45">
        <f t="shared" si="4"/>
        <v>20.100000000000001</v>
      </c>
      <c r="V314" s="45">
        <v>0</v>
      </c>
      <c r="W314" s="45">
        <v>20.100000000000001</v>
      </c>
    </row>
    <row r="315" spans="4:23" x14ac:dyDescent="0.15">
      <c r="D315" s="40" t="s">
        <v>1033</v>
      </c>
      <c r="E315" s="40" t="s">
        <v>203</v>
      </c>
      <c r="F315" s="40" t="s">
        <v>204</v>
      </c>
      <c r="G315" s="40">
        <v>4</v>
      </c>
      <c r="H315" s="41">
        <v>40513.452777777777</v>
      </c>
      <c r="I315" s="40">
        <v>3.95</v>
      </c>
      <c r="J315" s="40">
        <v>13448</v>
      </c>
      <c r="K315" s="40" t="s">
        <v>71</v>
      </c>
      <c r="L315" s="42">
        <v>15.8</v>
      </c>
      <c r="M315" s="40" t="s">
        <v>721</v>
      </c>
      <c r="N315" s="40">
        <v>2010</v>
      </c>
      <c r="O315" s="40" t="s">
        <v>83</v>
      </c>
      <c r="P315" s="40" t="s">
        <v>126</v>
      </c>
      <c r="Q315" s="40" t="s">
        <v>624</v>
      </c>
      <c r="R315" s="40">
        <v>10</v>
      </c>
      <c r="S315" s="40" t="b">
        <v>0</v>
      </c>
      <c r="T315" s="40" t="b">
        <v>1</v>
      </c>
      <c r="U315" s="42">
        <f t="shared" si="4"/>
        <v>15.8</v>
      </c>
      <c r="V315" s="42">
        <v>0</v>
      </c>
      <c r="W315" s="42">
        <v>15.8</v>
      </c>
    </row>
    <row r="316" spans="4:23" x14ac:dyDescent="0.15">
      <c r="D316" s="43" t="s">
        <v>1033</v>
      </c>
      <c r="E316" s="43" t="s">
        <v>357</v>
      </c>
      <c r="F316" s="43" t="s">
        <v>358</v>
      </c>
      <c r="G316" s="43">
        <v>8</v>
      </c>
      <c r="H316" s="44">
        <v>40513.452777777777</v>
      </c>
      <c r="I316" s="43">
        <v>4.6500000000000004</v>
      </c>
      <c r="J316" s="43">
        <v>13448</v>
      </c>
      <c r="K316" s="43" t="s">
        <v>71</v>
      </c>
      <c r="L316" s="45">
        <v>37.200000000000003</v>
      </c>
      <c r="M316" s="43" t="s">
        <v>721</v>
      </c>
      <c r="N316" s="43">
        <v>2010</v>
      </c>
      <c r="O316" s="43" t="s">
        <v>83</v>
      </c>
      <c r="P316" s="43" t="s">
        <v>126</v>
      </c>
      <c r="Q316" s="43" t="s">
        <v>624</v>
      </c>
      <c r="R316" s="43">
        <v>10</v>
      </c>
      <c r="S316" s="43" t="b">
        <v>0</v>
      </c>
      <c r="T316" s="43" t="b">
        <v>1</v>
      </c>
      <c r="U316" s="45">
        <f t="shared" si="4"/>
        <v>37.200000000000003</v>
      </c>
      <c r="V316" s="45">
        <v>0</v>
      </c>
      <c r="W316" s="45">
        <v>37.200000000000003</v>
      </c>
    </row>
    <row r="317" spans="4:23" x14ac:dyDescent="0.15">
      <c r="D317" s="40" t="s">
        <v>1033</v>
      </c>
      <c r="E317" s="40" t="s">
        <v>207</v>
      </c>
      <c r="F317" s="40" t="s">
        <v>208</v>
      </c>
      <c r="G317" s="40">
        <v>9</v>
      </c>
      <c r="H317" s="41">
        <v>40513.452777777777</v>
      </c>
      <c r="I317" s="40">
        <v>4.95</v>
      </c>
      <c r="J317" s="40">
        <v>13448</v>
      </c>
      <c r="K317" s="40" t="s">
        <v>71</v>
      </c>
      <c r="L317" s="42">
        <v>44.55</v>
      </c>
      <c r="M317" s="40" t="s">
        <v>721</v>
      </c>
      <c r="N317" s="40">
        <v>2010</v>
      </c>
      <c r="O317" s="40" t="s">
        <v>83</v>
      </c>
      <c r="P317" s="40" t="s">
        <v>126</v>
      </c>
      <c r="Q317" s="40" t="s">
        <v>624</v>
      </c>
      <c r="R317" s="40">
        <v>10</v>
      </c>
      <c r="S317" s="40" t="b">
        <v>0</v>
      </c>
      <c r="T317" s="40" t="b">
        <v>1</v>
      </c>
      <c r="U317" s="42">
        <f t="shared" si="4"/>
        <v>44.55</v>
      </c>
      <c r="V317" s="42">
        <v>0</v>
      </c>
      <c r="W317" s="42">
        <v>44.55</v>
      </c>
    </row>
    <row r="318" spans="4:23" x14ac:dyDescent="0.15">
      <c r="D318" s="43" t="s">
        <v>1033</v>
      </c>
      <c r="E318" s="43" t="s">
        <v>333</v>
      </c>
      <c r="F318" s="43" t="s">
        <v>334</v>
      </c>
      <c r="G318" s="43">
        <v>4</v>
      </c>
      <c r="H318" s="44">
        <v>40513.452777777777</v>
      </c>
      <c r="I318" s="43">
        <v>3.75</v>
      </c>
      <c r="J318" s="43">
        <v>13448</v>
      </c>
      <c r="K318" s="43" t="s">
        <v>71</v>
      </c>
      <c r="L318" s="45">
        <v>15</v>
      </c>
      <c r="M318" s="43" t="s">
        <v>721</v>
      </c>
      <c r="N318" s="43">
        <v>2010</v>
      </c>
      <c r="O318" s="43" t="s">
        <v>83</v>
      </c>
      <c r="P318" s="43" t="s">
        <v>126</v>
      </c>
      <c r="Q318" s="43" t="s">
        <v>624</v>
      </c>
      <c r="R318" s="43">
        <v>10</v>
      </c>
      <c r="S318" s="43" t="b">
        <v>0</v>
      </c>
      <c r="T318" s="43" t="b">
        <v>1</v>
      </c>
      <c r="U318" s="45">
        <f t="shared" si="4"/>
        <v>15</v>
      </c>
      <c r="V318" s="45">
        <v>0</v>
      </c>
      <c r="W318" s="45">
        <v>15</v>
      </c>
    </row>
    <row r="319" spans="4:23" x14ac:dyDescent="0.15">
      <c r="D319" s="40" t="s">
        <v>1033</v>
      </c>
      <c r="E319" s="40" t="s">
        <v>263</v>
      </c>
      <c r="F319" s="40" t="s">
        <v>264</v>
      </c>
      <c r="G319" s="40">
        <v>9</v>
      </c>
      <c r="H319" s="41">
        <v>40513.452777777777</v>
      </c>
      <c r="I319" s="40">
        <v>4.95</v>
      </c>
      <c r="J319" s="40">
        <v>13448</v>
      </c>
      <c r="K319" s="40" t="s">
        <v>71</v>
      </c>
      <c r="L319" s="42">
        <v>44.55</v>
      </c>
      <c r="M319" s="40" t="s">
        <v>721</v>
      </c>
      <c r="N319" s="40">
        <v>2010</v>
      </c>
      <c r="O319" s="40" t="s">
        <v>83</v>
      </c>
      <c r="P319" s="40" t="s">
        <v>126</v>
      </c>
      <c r="Q319" s="40" t="s">
        <v>624</v>
      </c>
      <c r="R319" s="40">
        <v>10</v>
      </c>
      <c r="S319" s="40" t="b">
        <v>0</v>
      </c>
      <c r="T319" s="40" t="b">
        <v>1</v>
      </c>
      <c r="U319" s="42">
        <f t="shared" si="4"/>
        <v>44.55</v>
      </c>
      <c r="V319" s="42">
        <v>0</v>
      </c>
      <c r="W319" s="42">
        <v>44.55</v>
      </c>
    </row>
    <row r="320" spans="4:23" x14ac:dyDescent="0.15">
      <c r="D320" s="43" t="s">
        <v>1042</v>
      </c>
      <c r="E320" s="43" t="s">
        <v>731</v>
      </c>
      <c r="F320" s="43" t="s">
        <v>732</v>
      </c>
      <c r="G320" s="43">
        <v>6</v>
      </c>
      <c r="H320" s="44">
        <v>40513.452777777777</v>
      </c>
      <c r="I320" s="43">
        <v>1.85</v>
      </c>
      <c r="J320" s="43">
        <v>17850</v>
      </c>
      <c r="K320" s="43" t="s">
        <v>71</v>
      </c>
      <c r="L320" s="45">
        <v>11.1</v>
      </c>
      <c r="M320" s="43" t="s">
        <v>721</v>
      </c>
      <c r="N320" s="43">
        <v>2010</v>
      </c>
      <c r="O320" s="43" t="s">
        <v>83</v>
      </c>
      <c r="P320" s="43" t="s">
        <v>126</v>
      </c>
      <c r="Q320" s="43" t="s">
        <v>624</v>
      </c>
      <c r="R320" s="43">
        <v>10</v>
      </c>
      <c r="S320" s="43" t="b">
        <v>0</v>
      </c>
      <c r="T320" s="43" t="b">
        <v>1</v>
      </c>
      <c r="U320" s="45">
        <f t="shared" si="4"/>
        <v>11.1</v>
      </c>
      <c r="V320" s="45">
        <v>0</v>
      </c>
      <c r="W320" s="45">
        <v>11.1</v>
      </c>
    </row>
    <row r="321" spans="4:23" x14ac:dyDescent="0.15">
      <c r="D321" s="40" t="s">
        <v>1042</v>
      </c>
      <c r="E321" s="40" t="s">
        <v>729</v>
      </c>
      <c r="F321" s="40" t="s">
        <v>730</v>
      </c>
      <c r="G321" s="40">
        <v>6</v>
      </c>
      <c r="H321" s="41">
        <v>40513.452777777777</v>
      </c>
      <c r="I321" s="40">
        <v>1.85</v>
      </c>
      <c r="J321" s="40">
        <v>17850</v>
      </c>
      <c r="K321" s="40" t="s">
        <v>71</v>
      </c>
      <c r="L321" s="42">
        <v>11.1</v>
      </c>
      <c r="M321" s="40" t="s">
        <v>721</v>
      </c>
      <c r="N321" s="40">
        <v>2010</v>
      </c>
      <c r="O321" s="40" t="s">
        <v>83</v>
      </c>
      <c r="P321" s="40" t="s">
        <v>126</v>
      </c>
      <c r="Q321" s="40" t="s">
        <v>624</v>
      </c>
      <c r="R321" s="40">
        <v>10</v>
      </c>
      <c r="S321" s="40" t="b">
        <v>0</v>
      </c>
      <c r="T321" s="40" t="b">
        <v>1</v>
      </c>
      <c r="U321" s="42">
        <f t="shared" si="4"/>
        <v>11.1</v>
      </c>
      <c r="V321" s="42">
        <v>0</v>
      </c>
      <c r="W321" s="42">
        <v>11.1</v>
      </c>
    </row>
    <row r="322" spans="4:23" x14ac:dyDescent="0.15">
      <c r="D322" s="43" t="s">
        <v>1043</v>
      </c>
      <c r="E322" s="43" t="s">
        <v>345</v>
      </c>
      <c r="F322" s="43" t="s">
        <v>346</v>
      </c>
      <c r="G322" s="43">
        <v>12</v>
      </c>
      <c r="H322" s="44">
        <v>40513.453472222223</v>
      </c>
      <c r="I322" s="43">
        <v>1.45</v>
      </c>
      <c r="J322" s="43">
        <v>13448</v>
      </c>
      <c r="K322" s="43" t="s">
        <v>71</v>
      </c>
      <c r="L322" s="45">
        <v>17.399999999999999</v>
      </c>
      <c r="M322" s="43" t="s">
        <v>721</v>
      </c>
      <c r="N322" s="43">
        <v>2010</v>
      </c>
      <c r="O322" s="43" t="s">
        <v>83</v>
      </c>
      <c r="P322" s="43" t="s">
        <v>126</v>
      </c>
      <c r="Q322" s="43" t="s">
        <v>624</v>
      </c>
      <c r="R322" s="43">
        <v>10</v>
      </c>
      <c r="S322" s="43" t="b">
        <v>0</v>
      </c>
      <c r="T322" s="43" t="b">
        <v>1</v>
      </c>
      <c r="U322" s="45">
        <f t="shared" si="4"/>
        <v>17.399999999999999</v>
      </c>
      <c r="V322" s="45">
        <v>0</v>
      </c>
      <c r="W322" s="45">
        <v>17.399999999999999</v>
      </c>
    </row>
    <row r="323" spans="4:23" x14ac:dyDescent="0.15">
      <c r="D323" s="40" t="s">
        <v>1044</v>
      </c>
      <c r="E323" s="40" t="s">
        <v>1045</v>
      </c>
      <c r="F323" s="40" t="s">
        <v>1046</v>
      </c>
      <c r="G323" s="40">
        <v>1</v>
      </c>
      <c r="H323" s="41">
        <v>40513.472916666673</v>
      </c>
      <c r="I323" s="40">
        <v>2.5499999999999998</v>
      </c>
      <c r="J323" s="40">
        <v>15862</v>
      </c>
      <c r="K323" s="40" t="s">
        <v>71</v>
      </c>
      <c r="L323" s="42">
        <v>2.5499999999999998</v>
      </c>
      <c r="M323" s="40" t="s">
        <v>721</v>
      </c>
      <c r="N323" s="40">
        <v>2010</v>
      </c>
      <c r="O323" s="40" t="s">
        <v>83</v>
      </c>
      <c r="P323" s="40" t="s">
        <v>126</v>
      </c>
      <c r="Q323" s="40" t="s">
        <v>624</v>
      </c>
      <c r="R323" s="40">
        <v>11</v>
      </c>
      <c r="S323" s="40" t="b">
        <v>0</v>
      </c>
      <c r="T323" s="40" t="b">
        <v>1</v>
      </c>
      <c r="U323" s="42">
        <f t="shared" si="4"/>
        <v>2.5499999999999998</v>
      </c>
      <c r="V323" s="42">
        <v>0</v>
      </c>
      <c r="W323" s="42">
        <v>2.5499999999999998</v>
      </c>
    </row>
    <row r="324" spans="4:23" x14ac:dyDescent="0.15">
      <c r="D324" s="43" t="s">
        <v>1044</v>
      </c>
      <c r="E324" s="43" t="s">
        <v>1047</v>
      </c>
      <c r="F324" s="43" t="s">
        <v>1048</v>
      </c>
      <c r="G324" s="43">
        <v>1</v>
      </c>
      <c r="H324" s="44">
        <v>40513.472916666673</v>
      </c>
      <c r="I324" s="43">
        <v>1.25</v>
      </c>
      <c r="J324" s="43">
        <v>15862</v>
      </c>
      <c r="K324" s="43" t="s">
        <v>71</v>
      </c>
      <c r="L324" s="45">
        <v>1.25</v>
      </c>
      <c r="M324" s="43" t="s">
        <v>721</v>
      </c>
      <c r="N324" s="43">
        <v>2010</v>
      </c>
      <c r="O324" s="43" t="s">
        <v>83</v>
      </c>
      <c r="P324" s="43" t="s">
        <v>126</v>
      </c>
      <c r="Q324" s="43" t="s">
        <v>624</v>
      </c>
      <c r="R324" s="43">
        <v>11</v>
      </c>
      <c r="S324" s="43" t="b">
        <v>0</v>
      </c>
      <c r="T324" s="43" t="b">
        <v>1</v>
      </c>
      <c r="U324" s="45">
        <f t="shared" si="4"/>
        <v>1.25</v>
      </c>
      <c r="V324" s="45">
        <v>0</v>
      </c>
      <c r="W324" s="45">
        <v>1.25</v>
      </c>
    </row>
    <row r="325" spans="4:23" x14ac:dyDescent="0.15">
      <c r="D325" s="40" t="s">
        <v>1044</v>
      </c>
      <c r="E325" s="40" t="s">
        <v>1049</v>
      </c>
      <c r="F325" s="40" t="s">
        <v>1050</v>
      </c>
      <c r="G325" s="40">
        <v>2</v>
      </c>
      <c r="H325" s="41">
        <v>40513.472916666673</v>
      </c>
      <c r="I325" s="40">
        <v>1.25</v>
      </c>
      <c r="J325" s="40">
        <v>15862</v>
      </c>
      <c r="K325" s="40" t="s">
        <v>71</v>
      </c>
      <c r="L325" s="42">
        <v>2.5</v>
      </c>
      <c r="M325" s="40" t="s">
        <v>721</v>
      </c>
      <c r="N325" s="40">
        <v>2010</v>
      </c>
      <c r="O325" s="40" t="s">
        <v>83</v>
      </c>
      <c r="P325" s="40" t="s">
        <v>126</v>
      </c>
      <c r="Q325" s="40" t="s">
        <v>624</v>
      </c>
      <c r="R325" s="40">
        <v>11</v>
      </c>
      <c r="S325" s="40" t="b">
        <v>0</v>
      </c>
      <c r="T325" s="40" t="b">
        <v>1</v>
      </c>
      <c r="U325" s="42">
        <f t="shared" ref="U325:U388" si="5">IF(T325,L325,0)</f>
        <v>2.5</v>
      </c>
      <c r="V325" s="42">
        <v>0</v>
      </c>
      <c r="W325" s="42">
        <v>2.5</v>
      </c>
    </row>
    <row r="326" spans="4:23" x14ac:dyDescent="0.15">
      <c r="D326" s="43" t="s">
        <v>1044</v>
      </c>
      <c r="E326" s="43" t="s">
        <v>1051</v>
      </c>
      <c r="F326" s="43" t="s">
        <v>1052</v>
      </c>
      <c r="G326" s="43">
        <v>1</v>
      </c>
      <c r="H326" s="44">
        <v>40513.472916666673</v>
      </c>
      <c r="I326" s="43">
        <v>2.95</v>
      </c>
      <c r="J326" s="43">
        <v>15862</v>
      </c>
      <c r="K326" s="43" t="s">
        <v>71</v>
      </c>
      <c r="L326" s="45">
        <v>2.95</v>
      </c>
      <c r="M326" s="43" t="s">
        <v>721</v>
      </c>
      <c r="N326" s="43">
        <v>2010</v>
      </c>
      <c r="O326" s="43" t="s">
        <v>83</v>
      </c>
      <c r="P326" s="43" t="s">
        <v>126</v>
      </c>
      <c r="Q326" s="43" t="s">
        <v>624</v>
      </c>
      <c r="R326" s="43">
        <v>11</v>
      </c>
      <c r="S326" s="43" t="b">
        <v>0</v>
      </c>
      <c r="T326" s="43" t="b">
        <v>1</v>
      </c>
      <c r="U326" s="45">
        <f t="shared" si="5"/>
        <v>2.95</v>
      </c>
      <c r="V326" s="45">
        <v>0</v>
      </c>
      <c r="W326" s="45">
        <v>2.95</v>
      </c>
    </row>
    <row r="327" spans="4:23" x14ac:dyDescent="0.15">
      <c r="D327" s="40" t="s">
        <v>1044</v>
      </c>
      <c r="E327" s="40" t="s">
        <v>1053</v>
      </c>
      <c r="F327" s="40" t="s">
        <v>1054</v>
      </c>
      <c r="G327" s="40">
        <v>1</v>
      </c>
      <c r="H327" s="41">
        <v>40513.472916666673</v>
      </c>
      <c r="I327" s="40">
        <v>3.35</v>
      </c>
      <c r="J327" s="40">
        <v>15862</v>
      </c>
      <c r="K327" s="40" t="s">
        <v>71</v>
      </c>
      <c r="L327" s="42">
        <v>3.35</v>
      </c>
      <c r="M327" s="40" t="s">
        <v>721</v>
      </c>
      <c r="N327" s="40">
        <v>2010</v>
      </c>
      <c r="O327" s="40" t="s">
        <v>83</v>
      </c>
      <c r="P327" s="40" t="s">
        <v>126</v>
      </c>
      <c r="Q327" s="40" t="s">
        <v>624</v>
      </c>
      <c r="R327" s="40">
        <v>11</v>
      </c>
      <c r="S327" s="40" t="b">
        <v>0</v>
      </c>
      <c r="T327" s="40" t="b">
        <v>1</v>
      </c>
      <c r="U327" s="42">
        <f t="shared" si="5"/>
        <v>3.35</v>
      </c>
      <c r="V327" s="42">
        <v>0</v>
      </c>
      <c r="W327" s="42">
        <v>3.35</v>
      </c>
    </row>
    <row r="328" spans="4:23" x14ac:dyDescent="0.15">
      <c r="D328" s="43" t="s">
        <v>1044</v>
      </c>
      <c r="E328" s="43" t="s">
        <v>1055</v>
      </c>
      <c r="F328" s="43" t="s">
        <v>1056</v>
      </c>
      <c r="G328" s="43">
        <v>1</v>
      </c>
      <c r="H328" s="44">
        <v>40513.472916666673</v>
      </c>
      <c r="I328" s="43">
        <v>1.45</v>
      </c>
      <c r="J328" s="43">
        <v>15862</v>
      </c>
      <c r="K328" s="43" t="s">
        <v>71</v>
      </c>
      <c r="L328" s="45">
        <v>1.45</v>
      </c>
      <c r="M328" s="43" t="s">
        <v>721</v>
      </c>
      <c r="N328" s="43">
        <v>2010</v>
      </c>
      <c r="O328" s="43" t="s">
        <v>83</v>
      </c>
      <c r="P328" s="43" t="s">
        <v>126</v>
      </c>
      <c r="Q328" s="43" t="s">
        <v>624</v>
      </c>
      <c r="R328" s="43">
        <v>11</v>
      </c>
      <c r="S328" s="43" t="b">
        <v>0</v>
      </c>
      <c r="T328" s="43" t="b">
        <v>1</v>
      </c>
      <c r="U328" s="45">
        <f t="shared" si="5"/>
        <v>1.45</v>
      </c>
      <c r="V328" s="45">
        <v>0</v>
      </c>
      <c r="W328" s="45">
        <v>1.45</v>
      </c>
    </row>
    <row r="329" spans="4:23" x14ac:dyDescent="0.15">
      <c r="D329" s="40" t="s">
        <v>1044</v>
      </c>
      <c r="E329" s="40" t="s">
        <v>1057</v>
      </c>
      <c r="F329" s="40" t="s">
        <v>1058</v>
      </c>
      <c r="G329" s="40">
        <v>1</v>
      </c>
      <c r="H329" s="41">
        <v>40513.472916666673</v>
      </c>
      <c r="I329" s="40">
        <v>1.25</v>
      </c>
      <c r="J329" s="40">
        <v>15862</v>
      </c>
      <c r="K329" s="40" t="s">
        <v>71</v>
      </c>
      <c r="L329" s="42">
        <v>1.25</v>
      </c>
      <c r="M329" s="40" t="s">
        <v>721</v>
      </c>
      <c r="N329" s="40">
        <v>2010</v>
      </c>
      <c r="O329" s="40" t="s">
        <v>83</v>
      </c>
      <c r="P329" s="40" t="s">
        <v>126</v>
      </c>
      <c r="Q329" s="40" t="s">
        <v>624</v>
      </c>
      <c r="R329" s="40">
        <v>11</v>
      </c>
      <c r="S329" s="40" t="b">
        <v>0</v>
      </c>
      <c r="T329" s="40" t="b">
        <v>1</v>
      </c>
      <c r="U329" s="42">
        <f t="shared" si="5"/>
        <v>1.25</v>
      </c>
      <c r="V329" s="42">
        <v>0</v>
      </c>
      <c r="W329" s="42">
        <v>1.25</v>
      </c>
    </row>
    <row r="330" spans="4:23" x14ac:dyDescent="0.15">
      <c r="D330" s="43" t="s">
        <v>1044</v>
      </c>
      <c r="E330" s="43" t="s">
        <v>1059</v>
      </c>
      <c r="F330" s="43" t="s">
        <v>1060</v>
      </c>
      <c r="G330" s="43">
        <v>2</v>
      </c>
      <c r="H330" s="44">
        <v>40513.472916666673</v>
      </c>
      <c r="I330" s="43">
        <v>1.25</v>
      </c>
      <c r="J330" s="43">
        <v>15862</v>
      </c>
      <c r="K330" s="43" t="s">
        <v>71</v>
      </c>
      <c r="L330" s="45">
        <v>2.5</v>
      </c>
      <c r="M330" s="43" t="s">
        <v>721</v>
      </c>
      <c r="N330" s="43">
        <v>2010</v>
      </c>
      <c r="O330" s="43" t="s">
        <v>83</v>
      </c>
      <c r="P330" s="43" t="s">
        <v>126</v>
      </c>
      <c r="Q330" s="43" t="s">
        <v>624</v>
      </c>
      <c r="R330" s="43">
        <v>11</v>
      </c>
      <c r="S330" s="43" t="b">
        <v>0</v>
      </c>
      <c r="T330" s="43" t="b">
        <v>1</v>
      </c>
      <c r="U330" s="45">
        <f t="shared" si="5"/>
        <v>2.5</v>
      </c>
      <c r="V330" s="45">
        <v>0</v>
      </c>
      <c r="W330" s="45">
        <v>2.5</v>
      </c>
    </row>
    <row r="331" spans="4:23" x14ac:dyDescent="0.15">
      <c r="D331" s="40" t="s">
        <v>1044</v>
      </c>
      <c r="E331" s="40" t="s">
        <v>1061</v>
      </c>
      <c r="F331" s="40" t="s">
        <v>1062</v>
      </c>
      <c r="G331" s="40">
        <v>1</v>
      </c>
      <c r="H331" s="41">
        <v>40513.472916666673</v>
      </c>
      <c r="I331" s="40">
        <v>1.65</v>
      </c>
      <c r="J331" s="40">
        <v>15862</v>
      </c>
      <c r="K331" s="40" t="s">
        <v>71</v>
      </c>
      <c r="L331" s="42">
        <v>1.65</v>
      </c>
      <c r="M331" s="40" t="s">
        <v>721</v>
      </c>
      <c r="N331" s="40">
        <v>2010</v>
      </c>
      <c r="O331" s="40" t="s">
        <v>83</v>
      </c>
      <c r="P331" s="40" t="s">
        <v>126</v>
      </c>
      <c r="Q331" s="40" t="s">
        <v>624</v>
      </c>
      <c r="R331" s="40">
        <v>11</v>
      </c>
      <c r="S331" s="40" t="b">
        <v>0</v>
      </c>
      <c r="T331" s="40" t="b">
        <v>1</v>
      </c>
      <c r="U331" s="42">
        <f t="shared" si="5"/>
        <v>1.65</v>
      </c>
      <c r="V331" s="42">
        <v>0</v>
      </c>
      <c r="W331" s="42">
        <v>1.65</v>
      </c>
    </row>
    <row r="332" spans="4:23" x14ac:dyDescent="0.15">
      <c r="D332" s="43" t="s">
        <v>1044</v>
      </c>
      <c r="E332" s="43" t="s">
        <v>251</v>
      </c>
      <c r="F332" s="43" t="s">
        <v>252</v>
      </c>
      <c r="G332" s="43">
        <v>4</v>
      </c>
      <c r="H332" s="44">
        <v>40513.472916666673</v>
      </c>
      <c r="I332" s="43">
        <v>1.45</v>
      </c>
      <c r="J332" s="43">
        <v>15862</v>
      </c>
      <c r="K332" s="43" t="s">
        <v>71</v>
      </c>
      <c r="L332" s="45">
        <v>5.8</v>
      </c>
      <c r="M332" s="43" t="s">
        <v>721</v>
      </c>
      <c r="N332" s="43">
        <v>2010</v>
      </c>
      <c r="O332" s="43" t="s">
        <v>83</v>
      </c>
      <c r="P332" s="43" t="s">
        <v>126</v>
      </c>
      <c r="Q332" s="43" t="s">
        <v>624</v>
      </c>
      <c r="R332" s="43">
        <v>11</v>
      </c>
      <c r="S332" s="43" t="b">
        <v>0</v>
      </c>
      <c r="T332" s="43" t="b">
        <v>1</v>
      </c>
      <c r="U332" s="45">
        <f t="shared" si="5"/>
        <v>5.8</v>
      </c>
      <c r="V332" s="45">
        <v>0</v>
      </c>
      <c r="W332" s="45">
        <v>5.8</v>
      </c>
    </row>
    <row r="333" spans="4:23" x14ac:dyDescent="0.15">
      <c r="D333" s="40" t="s">
        <v>1044</v>
      </c>
      <c r="E333" s="40" t="s">
        <v>1063</v>
      </c>
      <c r="F333" s="40" t="s">
        <v>1064</v>
      </c>
      <c r="G333" s="40">
        <v>1</v>
      </c>
      <c r="H333" s="41">
        <v>40513.472916666673</v>
      </c>
      <c r="I333" s="40">
        <v>1.25</v>
      </c>
      <c r="J333" s="40">
        <v>15862</v>
      </c>
      <c r="K333" s="40" t="s">
        <v>71</v>
      </c>
      <c r="L333" s="42">
        <v>1.25</v>
      </c>
      <c r="M333" s="40" t="s">
        <v>721</v>
      </c>
      <c r="N333" s="40">
        <v>2010</v>
      </c>
      <c r="O333" s="40" t="s">
        <v>83</v>
      </c>
      <c r="P333" s="40" t="s">
        <v>126</v>
      </c>
      <c r="Q333" s="40" t="s">
        <v>624</v>
      </c>
      <c r="R333" s="40">
        <v>11</v>
      </c>
      <c r="S333" s="40" t="b">
        <v>0</v>
      </c>
      <c r="T333" s="40" t="b">
        <v>1</v>
      </c>
      <c r="U333" s="42">
        <f t="shared" si="5"/>
        <v>1.25</v>
      </c>
      <c r="V333" s="42">
        <v>0</v>
      </c>
      <c r="W333" s="42">
        <v>1.25</v>
      </c>
    </row>
    <row r="334" spans="4:23" x14ac:dyDescent="0.15">
      <c r="D334" s="43" t="s">
        <v>1044</v>
      </c>
      <c r="E334" s="43" t="s">
        <v>1065</v>
      </c>
      <c r="F334" s="43" t="s">
        <v>1066</v>
      </c>
      <c r="G334" s="43">
        <v>1</v>
      </c>
      <c r="H334" s="44">
        <v>40513.472916666673</v>
      </c>
      <c r="I334" s="43">
        <v>4.95</v>
      </c>
      <c r="J334" s="43">
        <v>15862</v>
      </c>
      <c r="K334" s="43" t="s">
        <v>71</v>
      </c>
      <c r="L334" s="45">
        <v>4.95</v>
      </c>
      <c r="M334" s="43" t="s">
        <v>721</v>
      </c>
      <c r="N334" s="43">
        <v>2010</v>
      </c>
      <c r="O334" s="43" t="s">
        <v>83</v>
      </c>
      <c r="P334" s="43" t="s">
        <v>126</v>
      </c>
      <c r="Q334" s="43" t="s">
        <v>624</v>
      </c>
      <c r="R334" s="43">
        <v>11</v>
      </c>
      <c r="S334" s="43" t="b">
        <v>0</v>
      </c>
      <c r="T334" s="43" t="b">
        <v>1</v>
      </c>
      <c r="U334" s="45">
        <f t="shared" si="5"/>
        <v>4.95</v>
      </c>
      <c r="V334" s="45">
        <v>0</v>
      </c>
      <c r="W334" s="45">
        <v>4.95</v>
      </c>
    </row>
    <row r="335" spans="4:23" x14ac:dyDescent="0.15">
      <c r="D335" s="40" t="s">
        <v>1044</v>
      </c>
      <c r="E335" s="40" t="s">
        <v>1067</v>
      </c>
      <c r="F335" s="40" t="s">
        <v>1068</v>
      </c>
      <c r="G335" s="40">
        <v>2</v>
      </c>
      <c r="H335" s="41">
        <v>40513.472916666673</v>
      </c>
      <c r="I335" s="40">
        <v>3.75</v>
      </c>
      <c r="J335" s="40">
        <v>15862</v>
      </c>
      <c r="K335" s="40" t="s">
        <v>71</v>
      </c>
      <c r="L335" s="42">
        <v>7.5</v>
      </c>
      <c r="M335" s="40" t="s">
        <v>721</v>
      </c>
      <c r="N335" s="40">
        <v>2010</v>
      </c>
      <c r="O335" s="40" t="s">
        <v>83</v>
      </c>
      <c r="P335" s="40" t="s">
        <v>126</v>
      </c>
      <c r="Q335" s="40" t="s">
        <v>624</v>
      </c>
      <c r="R335" s="40">
        <v>11</v>
      </c>
      <c r="S335" s="40" t="b">
        <v>0</v>
      </c>
      <c r="T335" s="40" t="b">
        <v>1</v>
      </c>
      <c r="U335" s="42">
        <f t="shared" si="5"/>
        <v>7.5</v>
      </c>
      <c r="V335" s="42">
        <v>0</v>
      </c>
      <c r="W335" s="42">
        <v>7.5</v>
      </c>
    </row>
    <row r="336" spans="4:23" x14ac:dyDescent="0.15">
      <c r="D336" s="43" t="s">
        <v>1044</v>
      </c>
      <c r="E336" s="43" t="s">
        <v>1069</v>
      </c>
      <c r="F336" s="43" t="s">
        <v>1070</v>
      </c>
      <c r="G336" s="43">
        <v>2</v>
      </c>
      <c r="H336" s="44">
        <v>40513.472916666673</v>
      </c>
      <c r="I336" s="43">
        <v>1.25</v>
      </c>
      <c r="J336" s="43">
        <v>15862</v>
      </c>
      <c r="K336" s="43" t="s">
        <v>71</v>
      </c>
      <c r="L336" s="45">
        <v>2.5</v>
      </c>
      <c r="M336" s="43" t="s">
        <v>721</v>
      </c>
      <c r="N336" s="43">
        <v>2010</v>
      </c>
      <c r="O336" s="43" t="s">
        <v>83</v>
      </c>
      <c r="P336" s="43" t="s">
        <v>126</v>
      </c>
      <c r="Q336" s="43" t="s">
        <v>624</v>
      </c>
      <c r="R336" s="43">
        <v>11</v>
      </c>
      <c r="S336" s="43" t="b">
        <v>0</v>
      </c>
      <c r="T336" s="43" t="b">
        <v>1</v>
      </c>
      <c r="U336" s="45">
        <f t="shared" si="5"/>
        <v>2.5</v>
      </c>
      <c r="V336" s="45">
        <v>0</v>
      </c>
      <c r="W336" s="45">
        <v>2.5</v>
      </c>
    </row>
    <row r="337" spans="4:23" x14ac:dyDescent="0.15">
      <c r="D337" s="40" t="s">
        <v>1044</v>
      </c>
      <c r="E337" s="40" t="s">
        <v>1071</v>
      </c>
      <c r="F337" s="40" t="s">
        <v>1072</v>
      </c>
      <c r="G337" s="40">
        <v>2</v>
      </c>
      <c r="H337" s="41">
        <v>40513.472916666673</v>
      </c>
      <c r="I337" s="40">
        <v>9.9499999999999993</v>
      </c>
      <c r="J337" s="40">
        <v>15862</v>
      </c>
      <c r="K337" s="40" t="s">
        <v>71</v>
      </c>
      <c r="L337" s="42">
        <v>19.899999999999999</v>
      </c>
      <c r="M337" s="40" t="s">
        <v>721</v>
      </c>
      <c r="N337" s="40">
        <v>2010</v>
      </c>
      <c r="O337" s="40" t="s">
        <v>83</v>
      </c>
      <c r="P337" s="40" t="s">
        <v>126</v>
      </c>
      <c r="Q337" s="40" t="s">
        <v>624</v>
      </c>
      <c r="R337" s="40">
        <v>11</v>
      </c>
      <c r="S337" s="40" t="b">
        <v>0</v>
      </c>
      <c r="T337" s="40" t="b">
        <v>1</v>
      </c>
      <c r="U337" s="42">
        <f t="shared" si="5"/>
        <v>19.899999999999999</v>
      </c>
      <c r="V337" s="42">
        <v>0</v>
      </c>
      <c r="W337" s="42">
        <v>19.899999999999999</v>
      </c>
    </row>
    <row r="338" spans="4:23" x14ac:dyDescent="0.15">
      <c r="D338" s="43" t="s">
        <v>1044</v>
      </c>
      <c r="E338" s="43" t="s">
        <v>1073</v>
      </c>
      <c r="F338" s="43" t="s">
        <v>1074</v>
      </c>
      <c r="G338" s="43">
        <v>1</v>
      </c>
      <c r="H338" s="44">
        <v>40513.472916666673</v>
      </c>
      <c r="I338" s="43">
        <v>9.9499999999999993</v>
      </c>
      <c r="J338" s="43">
        <v>15862</v>
      </c>
      <c r="K338" s="43" t="s">
        <v>71</v>
      </c>
      <c r="L338" s="45">
        <v>9.9499999999999993</v>
      </c>
      <c r="M338" s="43" t="s">
        <v>721</v>
      </c>
      <c r="N338" s="43">
        <v>2010</v>
      </c>
      <c r="O338" s="43" t="s">
        <v>83</v>
      </c>
      <c r="P338" s="43" t="s">
        <v>126</v>
      </c>
      <c r="Q338" s="43" t="s">
        <v>624</v>
      </c>
      <c r="R338" s="43">
        <v>11</v>
      </c>
      <c r="S338" s="43" t="b">
        <v>0</v>
      </c>
      <c r="T338" s="43" t="b">
        <v>1</v>
      </c>
      <c r="U338" s="45">
        <f t="shared" si="5"/>
        <v>9.9499999999999993</v>
      </c>
      <c r="V338" s="45">
        <v>0</v>
      </c>
      <c r="W338" s="45">
        <v>9.9499999999999993</v>
      </c>
    </row>
    <row r="339" spans="4:23" x14ac:dyDescent="0.15">
      <c r="D339" s="40" t="s">
        <v>1044</v>
      </c>
      <c r="E339" s="40" t="s">
        <v>1075</v>
      </c>
      <c r="F339" s="40" t="s">
        <v>1076</v>
      </c>
      <c r="G339" s="40">
        <v>1</v>
      </c>
      <c r="H339" s="41">
        <v>40513.472916666673</v>
      </c>
      <c r="I339" s="40">
        <v>5.95</v>
      </c>
      <c r="J339" s="40">
        <v>15862</v>
      </c>
      <c r="K339" s="40" t="s">
        <v>71</v>
      </c>
      <c r="L339" s="42">
        <v>5.95</v>
      </c>
      <c r="M339" s="40" t="s">
        <v>721</v>
      </c>
      <c r="N339" s="40">
        <v>2010</v>
      </c>
      <c r="O339" s="40" t="s">
        <v>83</v>
      </c>
      <c r="P339" s="40" t="s">
        <v>126</v>
      </c>
      <c r="Q339" s="40" t="s">
        <v>624</v>
      </c>
      <c r="R339" s="40">
        <v>11</v>
      </c>
      <c r="S339" s="40" t="b">
        <v>0</v>
      </c>
      <c r="T339" s="40" t="b">
        <v>1</v>
      </c>
      <c r="U339" s="42">
        <f t="shared" si="5"/>
        <v>5.95</v>
      </c>
      <c r="V339" s="42">
        <v>0</v>
      </c>
      <c r="W339" s="42">
        <v>5.95</v>
      </c>
    </row>
    <row r="340" spans="4:23" x14ac:dyDescent="0.15">
      <c r="D340" s="43" t="s">
        <v>1044</v>
      </c>
      <c r="E340" s="43" t="s">
        <v>1077</v>
      </c>
      <c r="F340" s="43" t="s">
        <v>1078</v>
      </c>
      <c r="G340" s="43">
        <v>1</v>
      </c>
      <c r="H340" s="44">
        <v>40513.472916666673</v>
      </c>
      <c r="I340" s="43">
        <v>4.25</v>
      </c>
      <c r="J340" s="43">
        <v>15862</v>
      </c>
      <c r="K340" s="43" t="s">
        <v>71</v>
      </c>
      <c r="L340" s="45">
        <v>4.25</v>
      </c>
      <c r="M340" s="43" t="s">
        <v>721</v>
      </c>
      <c r="N340" s="43">
        <v>2010</v>
      </c>
      <c r="O340" s="43" t="s">
        <v>83</v>
      </c>
      <c r="P340" s="43" t="s">
        <v>126</v>
      </c>
      <c r="Q340" s="43" t="s">
        <v>624</v>
      </c>
      <c r="R340" s="43">
        <v>11</v>
      </c>
      <c r="S340" s="43" t="b">
        <v>0</v>
      </c>
      <c r="T340" s="43" t="b">
        <v>1</v>
      </c>
      <c r="U340" s="45">
        <f t="shared" si="5"/>
        <v>4.25</v>
      </c>
      <c r="V340" s="45">
        <v>0</v>
      </c>
      <c r="W340" s="45">
        <v>4.25</v>
      </c>
    </row>
    <row r="341" spans="4:23" x14ac:dyDescent="0.15">
      <c r="D341" s="40" t="s">
        <v>1044</v>
      </c>
      <c r="E341" s="40" t="s">
        <v>1079</v>
      </c>
      <c r="F341" s="40" t="s">
        <v>1080</v>
      </c>
      <c r="G341" s="40">
        <v>3</v>
      </c>
      <c r="H341" s="41">
        <v>40513.472916666673</v>
      </c>
      <c r="I341" s="40">
        <v>4.95</v>
      </c>
      <c r="J341" s="40">
        <v>15862</v>
      </c>
      <c r="K341" s="40" t="s">
        <v>71</v>
      </c>
      <c r="L341" s="42">
        <v>14.85</v>
      </c>
      <c r="M341" s="40" t="s">
        <v>721</v>
      </c>
      <c r="N341" s="40">
        <v>2010</v>
      </c>
      <c r="O341" s="40" t="s">
        <v>83</v>
      </c>
      <c r="P341" s="40" t="s">
        <v>126</v>
      </c>
      <c r="Q341" s="40" t="s">
        <v>624</v>
      </c>
      <c r="R341" s="40">
        <v>11</v>
      </c>
      <c r="S341" s="40" t="b">
        <v>0</v>
      </c>
      <c r="T341" s="40" t="b">
        <v>1</v>
      </c>
      <c r="U341" s="42">
        <f t="shared" si="5"/>
        <v>14.85</v>
      </c>
      <c r="V341" s="42">
        <v>0</v>
      </c>
      <c r="W341" s="42">
        <v>14.85</v>
      </c>
    </row>
    <row r="342" spans="4:23" x14ac:dyDescent="0.15">
      <c r="D342" s="43" t="s">
        <v>1044</v>
      </c>
      <c r="E342" s="43" t="s">
        <v>1081</v>
      </c>
      <c r="F342" s="43" t="s">
        <v>1082</v>
      </c>
      <c r="G342" s="43">
        <v>1</v>
      </c>
      <c r="H342" s="44">
        <v>40513.472916666673</v>
      </c>
      <c r="I342" s="43">
        <v>2.5499999999999998</v>
      </c>
      <c r="J342" s="43">
        <v>15862</v>
      </c>
      <c r="K342" s="43" t="s">
        <v>71</v>
      </c>
      <c r="L342" s="45">
        <v>2.5499999999999998</v>
      </c>
      <c r="M342" s="43" t="s">
        <v>721</v>
      </c>
      <c r="N342" s="43">
        <v>2010</v>
      </c>
      <c r="O342" s="43" t="s">
        <v>83</v>
      </c>
      <c r="P342" s="43" t="s">
        <v>126</v>
      </c>
      <c r="Q342" s="43" t="s">
        <v>624</v>
      </c>
      <c r="R342" s="43">
        <v>11</v>
      </c>
      <c r="S342" s="43" t="b">
        <v>0</v>
      </c>
      <c r="T342" s="43" t="b">
        <v>1</v>
      </c>
      <c r="U342" s="45">
        <f t="shared" si="5"/>
        <v>2.5499999999999998</v>
      </c>
      <c r="V342" s="45">
        <v>0</v>
      </c>
      <c r="W342" s="45">
        <v>2.5499999999999998</v>
      </c>
    </row>
    <row r="343" spans="4:23" x14ac:dyDescent="0.15">
      <c r="D343" s="40" t="s">
        <v>1044</v>
      </c>
      <c r="E343" s="40" t="s">
        <v>1083</v>
      </c>
      <c r="F343" s="40" t="s">
        <v>1084</v>
      </c>
      <c r="G343" s="40">
        <v>1</v>
      </c>
      <c r="H343" s="41">
        <v>40513.472916666673</v>
      </c>
      <c r="I343" s="40">
        <v>2.95</v>
      </c>
      <c r="J343" s="40">
        <v>15862</v>
      </c>
      <c r="K343" s="40" t="s">
        <v>71</v>
      </c>
      <c r="L343" s="42">
        <v>2.95</v>
      </c>
      <c r="M343" s="40" t="s">
        <v>721</v>
      </c>
      <c r="N343" s="40">
        <v>2010</v>
      </c>
      <c r="O343" s="40" t="s">
        <v>83</v>
      </c>
      <c r="P343" s="40" t="s">
        <v>126</v>
      </c>
      <c r="Q343" s="40" t="s">
        <v>624</v>
      </c>
      <c r="R343" s="40">
        <v>11</v>
      </c>
      <c r="S343" s="40" t="b">
        <v>0</v>
      </c>
      <c r="T343" s="40" t="b">
        <v>1</v>
      </c>
      <c r="U343" s="42">
        <f t="shared" si="5"/>
        <v>2.95</v>
      </c>
      <c r="V343" s="42">
        <v>0</v>
      </c>
      <c r="W343" s="42">
        <v>2.95</v>
      </c>
    </row>
    <row r="344" spans="4:23" x14ac:dyDescent="0.15">
      <c r="D344" s="43" t="s">
        <v>1044</v>
      </c>
      <c r="E344" s="43" t="s">
        <v>841</v>
      </c>
      <c r="F344" s="43" t="s">
        <v>842</v>
      </c>
      <c r="G344" s="43">
        <v>2</v>
      </c>
      <c r="H344" s="44">
        <v>40513.472916666673</v>
      </c>
      <c r="I344" s="43">
        <v>1.69</v>
      </c>
      <c r="J344" s="43">
        <v>15862</v>
      </c>
      <c r="K344" s="43" t="s">
        <v>71</v>
      </c>
      <c r="L344" s="45">
        <v>3.38</v>
      </c>
      <c r="M344" s="43" t="s">
        <v>721</v>
      </c>
      <c r="N344" s="43">
        <v>2010</v>
      </c>
      <c r="O344" s="43" t="s">
        <v>83</v>
      </c>
      <c r="P344" s="43" t="s">
        <v>126</v>
      </c>
      <c r="Q344" s="43" t="s">
        <v>624</v>
      </c>
      <c r="R344" s="43">
        <v>11</v>
      </c>
      <c r="S344" s="43" t="b">
        <v>0</v>
      </c>
      <c r="T344" s="43" t="b">
        <v>1</v>
      </c>
      <c r="U344" s="45">
        <f t="shared" si="5"/>
        <v>3.38</v>
      </c>
      <c r="V344" s="45">
        <v>0</v>
      </c>
      <c r="W344" s="45">
        <v>3.38</v>
      </c>
    </row>
    <row r="345" spans="4:23" x14ac:dyDescent="0.15">
      <c r="D345" s="40" t="s">
        <v>1044</v>
      </c>
      <c r="E345" s="40" t="s">
        <v>1085</v>
      </c>
      <c r="F345" s="40" t="s">
        <v>1086</v>
      </c>
      <c r="G345" s="40">
        <v>1</v>
      </c>
      <c r="H345" s="41">
        <v>40513.472916666673</v>
      </c>
      <c r="I345" s="40">
        <v>7.95</v>
      </c>
      <c r="J345" s="40">
        <v>15862</v>
      </c>
      <c r="K345" s="40" t="s">
        <v>71</v>
      </c>
      <c r="L345" s="42">
        <v>7.95</v>
      </c>
      <c r="M345" s="40" t="s">
        <v>721</v>
      </c>
      <c r="N345" s="40">
        <v>2010</v>
      </c>
      <c r="O345" s="40" t="s">
        <v>83</v>
      </c>
      <c r="P345" s="40" t="s">
        <v>126</v>
      </c>
      <c r="Q345" s="40" t="s">
        <v>624</v>
      </c>
      <c r="R345" s="40">
        <v>11</v>
      </c>
      <c r="S345" s="40" t="b">
        <v>0</v>
      </c>
      <c r="T345" s="40" t="b">
        <v>1</v>
      </c>
      <c r="U345" s="42">
        <f t="shared" si="5"/>
        <v>7.95</v>
      </c>
      <c r="V345" s="42">
        <v>0</v>
      </c>
      <c r="W345" s="42">
        <v>7.95</v>
      </c>
    </row>
    <row r="346" spans="4:23" x14ac:dyDescent="0.15">
      <c r="D346" s="43" t="s">
        <v>1044</v>
      </c>
      <c r="E346" s="43" t="s">
        <v>1087</v>
      </c>
      <c r="F346" s="43" t="s">
        <v>1088</v>
      </c>
      <c r="G346" s="43">
        <v>1</v>
      </c>
      <c r="H346" s="44">
        <v>40513.472916666673</v>
      </c>
      <c r="I346" s="43">
        <v>0.55000000000000004</v>
      </c>
      <c r="J346" s="43">
        <v>15862</v>
      </c>
      <c r="K346" s="43" t="s">
        <v>71</v>
      </c>
      <c r="L346" s="45">
        <v>0.55000000000000004</v>
      </c>
      <c r="M346" s="43" t="s">
        <v>721</v>
      </c>
      <c r="N346" s="43">
        <v>2010</v>
      </c>
      <c r="O346" s="43" t="s">
        <v>83</v>
      </c>
      <c r="P346" s="43" t="s">
        <v>126</v>
      </c>
      <c r="Q346" s="43" t="s">
        <v>624</v>
      </c>
      <c r="R346" s="43">
        <v>11</v>
      </c>
      <c r="S346" s="43" t="b">
        <v>0</v>
      </c>
      <c r="T346" s="43" t="b">
        <v>1</v>
      </c>
      <c r="U346" s="45">
        <f t="shared" si="5"/>
        <v>0.55000000000000004</v>
      </c>
      <c r="V346" s="45">
        <v>0</v>
      </c>
      <c r="W346" s="45">
        <v>0.55000000000000004</v>
      </c>
    </row>
    <row r="347" spans="4:23" x14ac:dyDescent="0.15">
      <c r="D347" s="40" t="s">
        <v>1044</v>
      </c>
      <c r="E347" s="40" t="s">
        <v>1089</v>
      </c>
      <c r="F347" s="40" t="s">
        <v>1090</v>
      </c>
      <c r="G347" s="40">
        <v>1</v>
      </c>
      <c r="H347" s="41">
        <v>40513.472916666673</v>
      </c>
      <c r="I347" s="40">
        <v>0.55000000000000004</v>
      </c>
      <c r="J347" s="40">
        <v>15862</v>
      </c>
      <c r="K347" s="40" t="s">
        <v>71</v>
      </c>
      <c r="L347" s="42">
        <v>0.55000000000000004</v>
      </c>
      <c r="M347" s="40" t="s">
        <v>721</v>
      </c>
      <c r="N347" s="40">
        <v>2010</v>
      </c>
      <c r="O347" s="40" t="s">
        <v>83</v>
      </c>
      <c r="P347" s="40" t="s">
        <v>126</v>
      </c>
      <c r="Q347" s="40" t="s">
        <v>624</v>
      </c>
      <c r="R347" s="40">
        <v>11</v>
      </c>
      <c r="S347" s="40" t="b">
        <v>0</v>
      </c>
      <c r="T347" s="40" t="b">
        <v>1</v>
      </c>
      <c r="U347" s="42">
        <f t="shared" si="5"/>
        <v>0.55000000000000004</v>
      </c>
      <c r="V347" s="42">
        <v>0</v>
      </c>
      <c r="W347" s="42">
        <v>0.55000000000000004</v>
      </c>
    </row>
    <row r="348" spans="4:23" x14ac:dyDescent="0.15">
      <c r="D348" s="43" t="s">
        <v>1044</v>
      </c>
      <c r="E348" s="43" t="s">
        <v>1091</v>
      </c>
      <c r="F348" s="43" t="s">
        <v>1092</v>
      </c>
      <c r="G348" s="43">
        <v>2</v>
      </c>
      <c r="H348" s="44">
        <v>40513.472916666673</v>
      </c>
      <c r="I348" s="43">
        <v>0.55000000000000004</v>
      </c>
      <c r="J348" s="43">
        <v>15862</v>
      </c>
      <c r="K348" s="43" t="s">
        <v>71</v>
      </c>
      <c r="L348" s="45">
        <v>1.1000000000000001</v>
      </c>
      <c r="M348" s="43" t="s">
        <v>721</v>
      </c>
      <c r="N348" s="43">
        <v>2010</v>
      </c>
      <c r="O348" s="43" t="s">
        <v>83</v>
      </c>
      <c r="P348" s="43" t="s">
        <v>126</v>
      </c>
      <c r="Q348" s="43" t="s">
        <v>624</v>
      </c>
      <c r="R348" s="43">
        <v>11</v>
      </c>
      <c r="S348" s="43" t="b">
        <v>0</v>
      </c>
      <c r="T348" s="43" t="b">
        <v>1</v>
      </c>
      <c r="U348" s="45">
        <f t="shared" si="5"/>
        <v>1.1000000000000001</v>
      </c>
      <c r="V348" s="45">
        <v>0</v>
      </c>
      <c r="W348" s="45">
        <v>1.1000000000000001</v>
      </c>
    </row>
    <row r="349" spans="4:23" x14ac:dyDescent="0.15">
      <c r="D349" s="40" t="s">
        <v>1044</v>
      </c>
      <c r="E349" s="40" t="s">
        <v>1093</v>
      </c>
      <c r="F349" s="40" t="s">
        <v>1094</v>
      </c>
      <c r="G349" s="40">
        <v>4</v>
      </c>
      <c r="H349" s="41">
        <v>40513.472916666673</v>
      </c>
      <c r="I349" s="40">
        <v>2.95</v>
      </c>
      <c r="J349" s="40">
        <v>15862</v>
      </c>
      <c r="K349" s="40" t="s">
        <v>71</v>
      </c>
      <c r="L349" s="42">
        <v>11.8</v>
      </c>
      <c r="M349" s="40" t="s">
        <v>721</v>
      </c>
      <c r="N349" s="40">
        <v>2010</v>
      </c>
      <c r="O349" s="40" t="s">
        <v>83</v>
      </c>
      <c r="P349" s="40" t="s">
        <v>126</v>
      </c>
      <c r="Q349" s="40" t="s">
        <v>624</v>
      </c>
      <c r="R349" s="40">
        <v>11</v>
      </c>
      <c r="S349" s="40" t="b">
        <v>0</v>
      </c>
      <c r="T349" s="40" t="b">
        <v>1</v>
      </c>
      <c r="U349" s="42">
        <f t="shared" si="5"/>
        <v>11.8</v>
      </c>
      <c r="V349" s="42">
        <v>0</v>
      </c>
      <c r="W349" s="42">
        <v>11.8</v>
      </c>
    </row>
    <row r="350" spans="4:23" x14ac:dyDescent="0.15">
      <c r="D350" s="43" t="s">
        <v>1044</v>
      </c>
      <c r="E350" s="43" t="s">
        <v>1095</v>
      </c>
      <c r="F350" s="43" t="s">
        <v>1096</v>
      </c>
      <c r="G350" s="43">
        <v>2</v>
      </c>
      <c r="H350" s="44">
        <v>40513.472916666673</v>
      </c>
      <c r="I350" s="43">
        <v>2.1</v>
      </c>
      <c r="J350" s="43">
        <v>15862</v>
      </c>
      <c r="K350" s="43" t="s">
        <v>71</v>
      </c>
      <c r="L350" s="45">
        <v>4.2</v>
      </c>
      <c r="M350" s="43" t="s">
        <v>721</v>
      </c>
      <c r="N350" s="43">
        <v>2010</v>
      </c>
      <c r="O350" s="43" t="s">
        <v>83</v>
      </c>
      <c r="P350" s="43" t="s">
        <v>126</v>
      </c>
      <c r="Q350" s="43" t="s">
        <v>624</v>
      </c>
      <c r="R350" s="43">
        <v>11</v>
      </c>
      <c r="S350" s="43" t="b">
        <v>0</v>
      </c>
      <c r="T350" s="43" t="b">
        <v>1</v>
      </c>
      <c r="U350" s="45">
        <f t="shared" si="5"/>
        <v>4.2</v>
      </c>
      <c r="V350" s="45">
        <v>0</v>
      </c>
      <c r="W350" s="45">
        <v>4.2</v>
      </c>
    </row>
    <row r="351" spans="4:23" x14ac:dyDescent="0.15">
      <c r="D351" s="40" t="s">
        <v>1044</v>
      </c>
      <c r="E351" s="40" t="s">
        <v>1097</v>
      </c>
      <c r="F351" s="40" t="s">
        <v>1098</v>
      </c>
      <c r="G351" s="40">
        <v>1</v>
      </c>
      <c r="H351" s="41">
        <v>40513.472916666673</v>
      </c>
      <c r="I351" s="40">
        <v>2.1</v>
      </c>
      <c r="J351" s="40">
        <v>15862</v>
      </c>
      <c r="K351" s="40" t="s">
        <v>71</v>
      </c>
      <c r="L351" s="42">
        <v>2.1</v>
      </c>
      <c r="M351" s="40" t="s">
        <v>721</v>
      </c>
      <c r="N351" s="40">
        <v>2010</v>
      </c>
      <c r="O351" s="40" t="s">
        <v>83</v>
      </c>
      <c r="P351" s="40" t="s">
        <v>126</v>
      </c>
      <c r="Q351" s="40" t="s">
        <v>624</v>
      </c>
      <c r="R351" s="40">
        <v>11</v>
      </c>
      <c r="S351" s="40" t="b">
        <v>0</v>
      </c>
      <c r="T351" s="40" t="b">
        <v>1</v>
      </c>
      <c r="U351" s="42">
        <f t="shared" si="5"/>
        <v>2.1</v>
      </c>
      <c r="V351" s="42">
        <v>0</v>
      </c>
      <c r="W351" s="42">
        <v>2.1</v>
      </c>
    </row>
    <row r="352" spans="4:23" x14ac:dyDescent="0.15">
      <c r="D352" s="43" t="s">
        <v>1044</v>
      </c>
      <c r="E352" s="43" t="s">
        <v>1099</v>
      </c>
      <c r="F352" s="43" t="s">
        <v>1100</v>
      </c>
      <c r="G352" s="43">
        <v>1</v>
      </c>
      <c r="H352" s="44">
        <v>40513.472916666673</v>
      </c>
      <c r="I352" s="43">
        <v>1.25</v>
      </c>
      <c r="J352" s="43">
        <v>15862</v>
      </c>
      <c r="K352" s="43" t="s">
        <v>71</v>
      </c>
      <c r="L352" s="45">
        <v>1.25</v>
      </c>
      <c r="M352" s="43" t="s">
        <v>721</v>
      </c>
      <c r="N352" s="43">
        <v>2010</v>
      </c>
      <c r="O352" s="43" t="s">
        <v>83</v>
      </c>
      <c r="P352" s="43" t="s">
        <v>126</v>
      </c>
      <c r="Q352" s="43" t="s">
        <v>624</v>
      </c>
      <c r="R352" s="43">
        <v>11</v>
      </c>
      <c r="S352" s="43" t="b">
        <v>0</v>
      </c>
      <c r="T352" s="43" t="b">
        <v>1</v>
      </c>
      <c r="U352" s="45">
        <f t="shared" si="5"/>
        <v>1.25</v>
      </c>
      <c r="V352" s="45">
        <v>0</v>
      </c>
      <c r="W352" s="45">
        <v>1.25</v>
      </c>
    </row>
    <row r="353" spans="4:23" x14ac:dyDescent="0.15">
      <c r="D353" s="40" t="s">
        <v>1044</v>
      </c>
      <c r="E353" s="40" t="s">
        <v>1101</v>
      </c>
      <c r="F353" s="40" t="s">
        <v>1102</v>
      </c>
      <c r="G353" s="40">
        <v>1</v>
      </c>
      <c r="H353" s="41">
        <v>40513.472916666673</v>
      </c>
      <c r="I353" s="40">
        <v>0.85</v>
      </c>
      <c r="J353" s="40">
        <v>15862</v>
      </c>
      <c r="K353" s="40" t="s">
        <v>71</v>
      </c>
      <c r="L353" s="42">
        <v>0.85</v>
      </c>
      <c r="M353" s="40" t="s">
        <v>721</v>
      </c>
      <c r="N353" s="40">
        <v>2010</v>
      </c>
      <c r="O353" s="40" t="s">
        <v>83</v>
      </c>
      <c r="P353" s="40" t="s">
        <v>126</v>
      </c>
      <c r="Q353" s="40" t="s">
        <v>624</v>
      </c>
      <c r="R353" s="40">
        <v>11</v>
      </c>
      <c r="S353" s="40" t="b">
        <v>0</v>
      </c>
      <c r="T353" s="40" t="b">
        <v>1</v>
      </c>
      <c r="U353" s="42">
        <f t="shared" si="5"/>
        <v>0.85</v>
      </c>
      <c r="V353" s="42">
        <v>0</v>
      </c>
      <c r="W353" s="42">
        <v>0.85</v>
      </c>
    </row>
    <row r="354" spans="4:23" x14ac:dyDescent="0.15">
      <c r="D354" s="43" t="s">
        <v>1044</v>
      </c>
      <c r="E354" s="43" t="s">
        <v>813</v>
      </c>
      <c r="F354" s="43" t="s">
        <v>814</v>
      </c>
      <c r="G354" s="43">
        <v>3</v>
      </c>
      <c r="H354" s="44">
        <v>40513.472916666673</v>
      </c>
      <c r="I354" s="43">
        <v>0.55000000000000004</v>
      </c>
      <c r="J354" s="43">
        <v>15862</v>
      </c>
      <c r="K354" s="43" t="s">
        <v>71</v>
      </c>
      <c r="L354" s="45">
        <v>1.65</v>
      </c>
      <c r="M354" s="43" t="s">
        <v>721</v>
      </c>
      <c r="N354" s="43">
        <v>2010</v>
      </c>
      <c r="O354" s="43" t="s">
        <v>83</v>
      </c>
      <c r="P354" s="43" t="s">
        <v>126</v>
      </c>
      <c r="Q354" s="43" t="s">
        <v>624</v>
      </c>
      <c r="R354" s="43">
        <v>11</v>
      </c>
      <c r="S354" s="43" t="b">
        <v>0</v>
      </c>
      <c r="T354" s="43" t="b">
        <v>1</v>
      </c>
      <c r="U354" s="45">
        <f t="shared" si="5"/>
        <v>1.65</v>
      </c>
      <c r="V354" s="45">
        <v>0</v>
      </c>
      <c r="W354" s="45">
        <v>1.65</v>
      </c>
    </row>
    <row r="355" spans="4:23" x14ac:dyDescent="0.15">
      <c r="D355" s="40" t="s">
        <v>1044</v>
      </c>
      <c r="E355" s="40" t="s">
        <v>1103</v>
      </c>
      <c r="F355" s="40" t="s">
        <v>1104</v>
      </c>
      <c r="G355" s="40">
        <v>1</v>
      </c>
      <c r="H355" s="41">
        <v>40513.472916666673</v>
      </c>
      <c r="I355" s="40">
        <v>2.95</v>
      </c>
      <c r="J355" s="40">
        <v>15862</v>
      </c>
      <c r="K355" s="40" t="s">
        <v>71</v>
      </c>
      <c r="L355" s="42">
        <v>2.95</v>
      </c>
      <c r="M355" s="40" t="s">
        <v>721</v>
      </c>
      <c r="N355" s="40">
        <v>2010</v>
      </c>
      <c r="O355" s="40" t="s">
        <v>83</v>
      </c>
      <c r="P355" s="40" t="s">
        <v>126</v>
      </c>
      <c r="Q355" s="40" t="s">
        <v>624</v>
      </c>
      <c r="R355" s="40">
        <v>11</v>
      </c>
      <c r="S355" s="40" t="b">
        <v>0</v>
      </c>
      <c r="T355" s="40" t="b">
        <v>1</v>
      </c>
      <c r="U355" s="42">
        <f t="shared" si="5"/>
        <v>2.95</v>
      </c>
      <c r="V355" s="42">
        <v>0</v>
      </c>
      <c r="W355" s="42">
        <v>2.95</v>
      </c>
    </row>
    <row r="356" spans="4:23" x14ac:dyDescent="0.15">
      <c r="D356" s="43" t="s">
        <v>1044</v>
      </c>
      <c r="E356" s="43" t="s">
        <v>1105</v>
      </c>
      <c r="F356" s="43" t="s">
        <v>1106</v>
      </c>
      <c r="G356" s="43">
        <v>1</v>
      </c>
      <c r="H356" s="44">
        <v>40513.472916666673</v>
      </c>
      <c r="I356" s="43">
        <v>2.95</v>
      </c>
      <c r="J356" s="43">
        <v>15862</v>
      </c>
      <c r="K356" s="43" t="s">
        <v>71</v>
      </c>
      <c r="L356" s="45">
        <v>2.95</v>
      </c>
      <c r="M356" s="43" t="s">
        <v>721</v>
      </c>
      <c r="N356" s="43">
        <v>2010</v>
      </c>
      <c r="O356" s="43" t="s">
        <v>83</v>
      </c>
      <c r="P356" s="43" t="s">
        <v>126</v>
      </c>
      <c r="Q356" s="43" t="s">
        <v>624</v>
      </c>
      <c r="R356" s="43">
        <v>11</v>
      </c>
      <c r="S356" s="43" t="b">
        <v>0</v>
      </c>
      <c r="T356" s="43" t="b">
        <v>1</v>
      </c>
      <c r="U356" s="45">
        <f t="shared" si="5"/>
        <v>2.95</v>
      </c>
      <c r="V356" s="45">
        <v>0</v>
      </c>
      <c r="W356" s="45">
        <v>2.95</v>
      </c>
    </row>
    <row r="357" spans="4:23" x14ac:dyDescent="0.15">
      <c r="D357" s="40" t="s">
        <v>1044</v>
      </c>
      <c r="E357" s="40" t="s">
        <v>1107</v>
      </c>
      <c r="F357" s="40" t="s">
        <v>1108</v>
      </c>
      <c r="G357" s="40">
        <v>2</v>
      </c>
      <c r="H357" s="41">
        <v>40513.472916666673</v>
      </c>
      <c r="I357" s="40">
        <v>1.25</v>
      </c>
      <c r="J357" s="40">
        <v>15862</v>
      </c>
      <c r="K357" s="40" t="s">
        <v>71</v>
      </c>
      <c r="L357" s="42">
        <v>2.5</v>
      </c>
      <c r="M357" s="40" t="s">
        <v>721</v>
      </c>
      <c r="N357" s="40">
        <v>2010</v>
      </c>
      <c r="O357" s="40" t="s">
        <v>83</v>
      </c>
      <c r="P357" s="40" t="s">
        <v>126</v>
      </c>
      <c r="Q357" s="40" t="s">
        <v>624</v>
      </c>
      <c r="R357" s="40">
        <v>11</v>
      </c>
      <c r="S357" s="40" t="b">
        <v>0</v>
      </c>
      <c r="T357" s="40" t="b">
        <v>1</v>
      </c>
      <c r="U357" s="42">
        <f t="shared" si="5"/>
        <v>2.5</v>
      </c>
      <c r="V357" s="42">
        <v>0</v>
      </c>
      <c r="W357" s="42">
        <v>2.5</v>
      </c>
    </row>
    <row r="358" spans="4:23" x14ac:dyDescent="0.15">
      <c r="D358" s="43" t="s">
        <v>1044</v>
      </c>
      <c r="E358" s="43" t="s">
        <v>1109</v>
      </c>
      <c r="F358" s="43" t="s">
        <v>1110</v>
      </c>
      <c r="G358" s="43">
        <v>3</v>
      </c>
      <c r="H358" s="44">
        <v>40513.472916666673</v>
      </c>
      <c r="I358" s="43">
        <v>1.25</v>
      </c>
      <c r="J358" s="43">
        <v>15862</v>
      </c>
      <c r="K358" s="43" t="s">
        <v>71</v>
      </c>
      <c r="L358" s="45">
        <v>3.75</v>
      </c>
      <c r="M358" s="43" t="s">
        <v>721</v>
      </c>
      <c r="N358" s="43">
        <v>2010</v>
      </c>
      <c r="O358" s="43" t="s">
        <v>83</v>
      </c>
      <c r="P358" s="43" t="s">
        <v>126</v>
      </c>
      <c r="Q358" s="43" t="s">
        <v>624</v>
      </c>
      <c r="R358" s="43">
        <v>11</v>
      </c>
      <c r="S358" s="43" t="b">
        <v>0</v>
      </c>
      <c r="T358" s="43" t="b">
        <v>1</v>
      </c>
      <c r="U358" s="45">
        <f t="shared" si="5"/>
        <v>3.75</v>
      </c>
      <c r="V358" s="45">
        <v>0</v>
      </c>
      <c r="W358" s="45">
        <v>3.75</v>
      </c>
    </row>
    <row r="359" spans="4:23" x14ac:dyDescent="0.15">
      <c r="D359" s="40" t="s">
        <v>1044</v>
      </c>
      <c r="E359" s="40" t="s">
        <v>1111</v>
      </c>
      <c r="F359" s="40" t="s">
        <v>1112</v>
      </c>
      <c r="G359" s="40">
        <v>1</v>
      </c>
      <c r="H359" s="41">
        <v>40513.472916666673</v>
      </c>
      <c r="I359" s="40">
        <v>1.25</v>
      </c>
      <c r="J359" s="40">
        <v>15862</v>
      </c>
      <c r="K359" s="40" t="s">
        <v>71</v>
      </c>
      <c r="L359" s="42">
        <v>1.25</v>
      </c>
      <c r="M359" s="40" t="s">
        <v>721</v>
      </c>
      <c r="N359" s="40">
        <v>2010</v>
      </c>
      <c r="O359" s="40" t="s">
        <v>83</v>
      </c>
      <c r="P359" s="40" t="s">
        <v>126</v>
      </c>
      <c r="Q359" s="40" t="s">
        <v>624</v>
      </c>
      <c r="R359" s="40">
        <v>11</v>
      </c>
      <c r="S359" s="40" t="b">
        <v>0</v>
      </c>
      <c r="T359" s="40" t="b">
        <v>1</v>
      </c>
      <c r="U359" s="42">
        <f t="shared" si="5"/>
        <v>1.25</v>
      </c>
      <c r="V359" s="42">
        <v>0</v>
      </c>
      <c r="W359" s="42">
        <v>1.25</v>
      </c>
    </row>
    <row r="360" spans="4:23" x14ac:dyDescent="0.15">
      <c r="D360" s="43" t="s">
        <v>1044</v>
      </c>
      <c r="E360" s="43" t="s">
        <v>1113</v>
      </c>
      <c r="F360" s="43" t="s">
        <v>1114</v>
      </c>
      <c r="G360" s="43">
        <v>1</v>
      </c>
      <c r="H360" s="44">
        <v>40513.472916666673</v>
      </c>
      <c r="I360" s="43">
        <v>1.25</v>
      </c>
      <c r="J360" s="43">
        <v>15862</v>
      </c>
      <c r="K360" s="43" t="s">
        <v>71</v>
      </c>
      <c r="L360" s="45">
        <v>1.25</v>
      </c>
      <c r="M360" s="43" t="s">
        <v>721</v>
      </c>
      <c r="N360" s="43">
        <v>2010</v>
      </c>
      <c r="O360" s="43" t="s">
        <v>83</v>
      </c>
      <c r="P360" s="43" t="s">
        <v>126</v>
      </c>
      <c r="Q360" s="43" t="s">
        <v>624</v>
      </c>
      <c r="R360" s="43">
        <v>11</v>
      </c>
      <c r="S360" s="43" t="b">
        <v>0</v>
      </c>
      <c r="T360" s="43" t="b">
        <v>1</v>
      </c>
      <c r="U360" s="45">
        <f t="shared" si="5"/>
        <v>1.25</v>
      </c>
      <c r="V360" s="45">
        <v>0</v>
      </c>
      <c r="W360" s="45">
        <v>1.25</v>
      </c>
    </row>
    <row r="361" spans="4:23" x14ac:dyDescent="0.15">
      <c r="D361" s="40" t="s">
        <v>1044</v>
      </c>
      <c r="E361" s="40" t="s">
        <v>1115</v>
      </c>
      <c r="F361" s="40" t="s">
        <v>1116</v>
      </c>
      <c r="G361" s="40">
        <v>2</v>
      </c>
      <c r="H361" s="41">
        <v>40513.472916666673</v>
      </c>
      <c r="I361" s="40">
        <v>1.65</v>
      </c>
      <c r="J361" s="40">
        <v>15862</v>
      </c>
      <c r="K361" s="40" t="s">
        <v>71</v>
      </c>
      <c r="L361" s="42">
        <v>3.3</v>
      </c>
      <c r="M361" s="40" t="s">
        <v>721</v>
      </c>
      <c r="N361" s="40">
        <v>2010</v>
      </c>
      <c r="O361" s="40" t="s">
        <v>83</v>
      </c>
      <c r="P361" s="40" t="s">
        <v>126</v>
      </c>
      <c r="Q361" s="40" t="s">
        <v>624</v>
      </c>
      <c r="R361" s="40">
        <v>11</v>
      </c>
      <c r="S361" s="40" t="b">
        <v>0</v>
      </c>
      <c r="T361" s="40" t="b">
        <v>1</v>
      </c>
      <c r="U361" s="42">
        <f t="shared" si="5"/>
        <v>3.3</v>
      </c>
      <c r="V361" s="42">
        <v>0</v>
      </c>
      <c r="W361" s="42">
        <v>3.3</v>
      </c>
    </row>
    <row r="362" spans="4:23" x14ac:dyDescent="0.15">
      <c r="D362" s="43" t="s">
        <v>1044</v>
      </c>
      <c r="E362" s="43" t="s">
        <v>1117</v>
      </c>
      <c r="F362" s="43" t="s">
        <v>1118</v>
      </c>
      <c r="G362" s="43">
        <v>2</v>
      </c>
      <c r="H362" s="44">
        <v>40513.472916666673</v>
      </c>
      <c r="I362" s="43">
        <v>2.95</v>
      </c>
      <c r="J362" s="43">
        <v>15862</v>
      </c>
      <c r="K362" s="43" t="s">
        <v>71</v>
      </c>
      <c r="L362" s="45">
        <v>5.9</v>
      </c>
      <c r="M362" s="43" t="s">
        <v>721</v>
      </c>
      <c r="N362" s="43">
        <v>2010</v>
      </c>
      <c r="O362" s="43" t="s">
        <v>83</v>
      </c>
      <c r="P362" s="43" t="s">
        <v>126</v>
      </c>
      <c r="Q362" s="43" t="s">
        <v>624</v>
      </c>
      <c r="R362" s="43">
        <v>11</v>
      </c>
      <c r="S362" s="43" t="b">
        <v>0</v>
      </c>
      <c r="T362" s="43" t="b">
        <v>1</v>
      </c>
      <c r="U362" s="45">
        <f t="shared" si="5"/>
        <v>5.9</v>
      </c>
      <c r="V362" s="45">
        <v>0</v>
      </c>
      <c r="W362" s="45">
        <v>5.9</v>
      </c>
    </row>
    <row r="363" spans="4:23" x14ac:dyDescent="0.15">
      <c r="D363" s="40" t="s">
        <v>1044</v>
      </c>
      <c r="E363" s="40" t="s">
        <v>1119</v>
      </c>
      <c r="F363" s="40" t="s">
        <v>1120</v>
      </c>
      <c r="G363" s="40">
        <v>2</v>
      </c>
      <c r="H363" s="41">
        <v>40513.472916666673</v>
      </c>
      <c r="I363" s="40">
        <v>2.95</v>
      </c>
      <c r="J363" s="40">
        <v>15862</v>
      </c>
      <c r="K363" s="40" t="s">
        <v>71</v>
      </c>
      <c r="L363" s="42">
        <v>5.9</v>
      </c>
      <c r="M363" s="40" t="s">
        <v>721</v>
      </c>
      <c r="N363" s="40">
        <v>2010</v>
      </c>
      <c r="O363" s="40" t="s">
        <v>83</v>
      </c>
      <c r="P363" s="40" t="s">
        <v>126</v>
      </c>
      <c r="Q363" s="40" t="s">
        <v>624</v>
      </c>
      <c r="R363" s="40">
        <v>11</v>
      </c>
      <c r="S363" s="40" t="b">
        <v>0</v>
      </c>
      <c r="T363" s="40" t="b">
        <v>1</v>
      </c>
      <c r="U363" s="42">
        <f t="shared" si="5"/>
        <v>5.9</v>
      </c>
      <c r="V363" s="42">
        <v>0</v>
      </c>
      <c r="W363" s="42">
        <v>5.9</v>
      </c>
    </row>
    <row r="364" spans="4:23" x14ac:dyDescent="0.15">
      <c r="D364" s="43" t="s">
        <v>1044</v>
      </c>
      <c r="E364" s="43" t="s">
        <v>1121</v>
      </c>
      <c r="F364" s="43" t="s">
        <v>1122</v>
      </c>
      <c r="G364" s="43">
        <v>1</v>
      </c>
      <c r="H364" s="44">
        <v>40513.472916666673</v>
      </c>
      <c r="I364" s="43">
        <v>5.95</v>
      </c>
      <c r="J364" s="43">
        <v>15862</v>
      </c>
      <c r="K364" s="43" t="s">
        <v>71</v>
      </c>
      <c r="L364" s="45">
        <v>5.95</v>
      </c>
      <c r="M364" s="43" t="s">
        <v>721</v>
      </c>
      <c r="N364" s="43">
        <v>2010</v>
      </c>
      <c r="O364" s="43" t="s">
        <v>83</v>
      </c>
      <c r="P364" s="43" t="s">
        <v>126</v>
      </c>
      <c r="Q364" s="43" t="s">
        <v>624</v>
      </c>
      <c r="R364" s="43">
        <v>11</v>
      </c>
      <c r="S364" s="43" t="b">
        <v>0</v>
      </c>
      <c r="T364" s="43" t="b">
        <v>1</v>
      </c>
      <c r="U364" s="45">
        <f t="shared" si="5"/>
        <v>5.95</v>
      </c>
      <c r="V364" s="45">
        <v>0</v>
      </c>
      <c r="W364" s="45">
        <v>5.95</v>
      </c>
    </row>
    <row r="365" spans="4:23" x14ac:dyDescent="0.15">
      <c r="D365" s="40" t="s">
        <v>1044</v>
      </c>
      <c r="E365" s="40" t="s">
        <v>1123</v>
      </c>
      <c r="F365" s="40" t="s">
        <v>1124</v>
      </c>
      <c r="G365" s="40">
        <v>1</v>
      </c>
      <c r="H365" s="41">
        <v>40513.472916666673</v>
      </c>
      <c r="I365" s="40">
        <v>1.25</v>
      </c>
      <c r="J365" s="40">
        <v>15862</v>
      </c>
      <c r="K365" s="40" t="s">
        <v>71</v>
      </c>
      <c r="L365" s="42">
        <v>1.25</v>
      </c>
      <c r="M365" s="40" t="s">
        <v>721</v>
      </c>
      <c r="N365" s="40">
        <v>2010</v>
      </c>
      <c r="O365" s="40" t="s">
        <v>83</v>
      </c>
      <c r="P365" s="40" t="s">
        <v>126</v>
      </c>
      <c r="Q365" s="40" t="s">
        <v>624</v>
      </c>
      <c r="R365" s="40">
        <v>11</v>
      </c>
      <c r="S365" s="40" t="b">
        <v>0</v>
      </c>
      <c r="T365" s="40" t="b">
        <v>1</v>
      </c>
      <c r="U365" s="42">
        <f t="shared" si="5"/>
        <v>1.25</v>
      </c>
      <c r="V365" s="42">
        <v>0</v>
      </c>
      <c r="W365" s="42">
        <v>1.25</v>
      </c>
    </row>
    <row r="366" spans="4:23" x14ac:dyDescent="0.15">
      <c r="D366" s="43" t="s">
        <v>1044</v>
      </c>
      <c r="E366" s="43" t="s">
        <v>1125</v>
      </c>
      <c r="F366" s="43" t="s">
        <v>1126</v>
      </c>
      <c r="G366" s="43">
        <v>2</v>
      </c>
      <c r="H366" s="44">
        <v>40513.472916666673</v>
      </c>
      <c r="I366" s="43">
        <v>2.5499999999999998</v>
      </c>
      <c r="J366" s="43">
        <v>15862</v>
      </c>
      <c r="K366" s="43" t="s">
        <v>71</v>
      </c>
      <c r="L366" s="45">
        <v>5.0999999999999996</v>
      </c>
      <c r="M366" s="43" t="s">
        <v>721</v>
      </c>
      <c r="N366" s="43">
        <v>2010</v>
      </c>
      <c r="O366" s="43" t="s">
        <v>83</v>
      </c>
      <c r="P366" s="43" t="s">
        <v>126</v>
      </c>
      <c r="Q366" s="43" t="s">
        <v>624</v>
      </c>
      <c r="R366" s="43">
        <v>11</v>
      </c>
      <c r="S366" s="43" t="b">
        <v>0</v>
      </c>
      <c r="T366" s="43" t="b">
        <v>1</v>
      </c>
      <c r="U366" s="45">
        <f t="shared" si="5"/>
        <v>5.0999999999999996</v>
      </c>
      <c r="V366" s="45">
        <v>0</v>
      </c>
      <c r="W366" s="45">
        <v>5.0999999999999996</v>
      </c>
    </row>
    <row r="367" spans="4:23" x14ac:dyDescent="0.15">
      <c r="D367" s="40" t="s">
        <v>1044</v>
      </c>
      <c r="E367" s="40" t="s">
        <v>1127</v>
      </c>
      <c r="F367" s="40" t="s">
        <v>1128</v>
      </c>
      <c r="G367" s="40">
        <v>9</v>
      </c>
      <c r="H367" s="41">
        <v>40513.472916666673</v>
      </c>
      <c r="I367" s="40">
        <v>0.85</v>
      </c>
      <c r="J367" s="40">
        <v>15862</v>
      </c>
      <c r="K367" s="40" t="s">
        <v>71</v>
      </c>
      <c r="L367" s="42">
        <v>7.6499999999999986</v>
      </c>
      <c r="M367" s="40" t="s">
        <v>721</v>
      </c>
      <c r="N367" s="40">
        <v>2010</v>
      </c>
      <c r="O367" s="40" t="s">
        <v>83</v>
      </c>
      <c r="P367" s="40" t="s">
        <v>126</v>
      </c>
      <c r="Q367" s="40" t="s">
        <v>624</v>
      </c>
      <c r="R367" s="40">
        <v>11</v>
      </c>
      <c r="S367" s="40" t="b">
        <v>0</v>
      </c>
      <c r="T367" s="40" t="b">
        <v>1</v>
      </c>
      <c r="U367" s="42">
        <f t="shared" si="5"/>
        <v>7.6499999999999986</v>
      </c>
      <c r="V367" s="42">
        <v>0</v>
      </c>
      <c r="W367" s="42">
        <v>7.6499999999999986</v>
      </c>
    </row>
    <row r="368" spans="4:23" x14ac:dyDescent="0.15">
      <c r="D368" s="43" t="s">
        <v>1044</v>
      </c>
      <c r="E368" s="43" t="s">
        <v>912</v>
      </c>
      <c r="F368" s="43" t="s">
        <v>913</v>
      </c>
      <c r="G368" s="43">
        <v>1</v>
      </c>
      <c r="H368" s="44">
        <v>40513.472916666673</v>
      </c>
      <c r="I368" s="43">
        <v>1.65</v>
      </c>
      <c r="J368" s="43">
        <v>15862</v>
      </c>
      <c r="K368" s="43" t="s">
        <v>71</v>
      </c>
      <c r="L368" s="45">
        <v>1.65</v>
      </c>
      <c r="M368" s="43" t="s">
        <v>721</v>
      </c>
      <c r="N368" s="43">
        <v>2010</v>
      </c>
      <c r="O368" s="43" t="s">
        <v>83</v>
      </c>
      <c r="P368" s="43" t="s">
        <v>126</v>
      </c>
      <c r="Q368" s="43" t="s">
        <v>624</v>
      </c>
      <c r="R368" s="43">
        <v>11</v>
      </c>
      <c r="S368" s="43" t="b">
        <v>0</v>
      </c>
      <c r="T368" s="43" t="b">
        <v>1</v>
      </c>
      <c r="U368" s="45">
        <f t="shared" si="5"/>
        <v>1.65</v>
      </c>
      <c r="V368" s="45">
        <v>0</v>
      </c>
      <c r="W368" s="45">
        <v>1.65</v>
      </c>
    </row>
    <row r="369" spans="4:23" x14ac:dyDescent="0.15">
      <c r="D369" s="40" t="s">
        <v>1044</v>
      </c>
      <c r="E369" s="40" t="s">
        <v>168</v>
      </c>
      <c r="F369" s="40" t="s">
        <v>102</v>
      </c>
      <c r="G369" s="40">
        <v>4</v>
      </c>
      <c r="H369" s="41">
        <v>40513.472916666673</v>
      </c>
      <c r="I369" s="40">
        <v>2.95</v>
      </c>
      <c r="J369" s="40">
        <v>15862</v>
      </c>
      <c r="K369" s="40" t="s">
        <v>71</v>
      </c>
      <c r="L369" s="42">
        <v>11.8</v>
      </c>
      <c r="M369" s="40" t="s">
        <v>721</v>
      </c>
      <c r="N369" s="40">
        <v>2010</v>
      </c>
      <c r="O369" s="40" t="s">
        <v>83</v>
      </c>
      <c r="P369" s="40" t="s">
        <v>126</v>
      </c>
      <c r="Q369" s="40" t="s">
        <v>624</v>
      </c>
      <c r="R369" s="40">
        <v>11</v>
      </c>
      <c r="S369" s="40" t="b">
        <v>0</v>
      </c>
      <c r="T369" s="40" t="b">
        <v>1</v>
      </c>
      <c r="U369" s="42">
        <f t="shared" si="5"/>
        <v>11.8</v>
      </c>
      <c r="V369" s="42">
        <v>0</v>
      </c>
      <c r="W369" s="42">
        <v>11.8</v>
      </c>
    </row>
    <row r="370" spans="4:23" x14ac:dyDescent="0.15">
      <c r="D370" s="43" t="s">
        <v>1044</v>
      </c>
      <c r="E370" s="43" t="s">
        <v>1129</v>
      </c>
      <c r="F370" s="43" t="s">
        <v>1130</v>
      </c>
      <c r="G370" s="43">
        <v>3</v>
      </c>
      <c r="H370" s="44">
        <v>40513.472916666673</v>
      </c>
      <c r="I370" s="43">
        <v>2.95</v>
      </c>
      <c r="J370" s="43">
        <v>15862</v>
      </c>
      <c r="K370" s="43" t="s">
        <v>71</v>
      </c>
      <c r="L370" s="45">
        <v>8.8500000000000014</v>
      </c>
      <c r="M370" s="43" t="s">
        <v>721</v>
      </c>
      <c r="N370" s="43">
        <v>2010</v>
      </c>
      <c r="O370" s="43" t="s">
        <v>83</v>
      </c>
      <c r="P370" s="43" t="s">
        <v>126</v>
      </c>
      <c r="Q370" s="43" t="s">
        <v>624</v>
      </c>
      <c r="R370" s="43">
        <v>11</v>
      </c>
      <c r="S370" s="43" t="b">
        <v>0</v>
      </c>
      <c r="T370" s="43" t="b">
        <v>1</v>
      </c>
      <c r="U370" s="45">
        <f t="shared" si="5"/>
        <v>8.8500000000000014</v>
      </c>
      <c r="V370" s="45">
        <v>0</v>
      </c>
      <c r="W370" s="45">
        <v>8.8500000000000014</v>
      </c>
    </row>
    <row r="371" spans="4:23" x14ac:dyDescent="0.15">
      <c r="D371" s="40" t="s">
        <v>1044</v>
      </c>
      <c r="E371" s="40" t="s">
        <v>409</v>
      </c>
      <c r="F371" s="40" t="s">
        <v>410</v>
      </c>
      <c r="G371" s="40">
        <v>1</v>
      </c>
      <c r="H371" s="41">
        <v>40513.472916666673</v>
      </c>
      <c r="I371" s="40">
        <v>5.95</v>
      </c>
      <c r="J371" s="40">
        <v>15862</v>
      </c>
      <c r="K371" s="40" t="s">
        <v>71</v>
      </c>
      <c r="L371" s="42">
        <v>5.95</v>
      </c>
      <c r="M371" s="40" t="s">
        <v>721</v>
      </c>
      <c r="N371" s="40">
        <v>2010</v>
      </c>
      <c r="O371" s="40" t="s">
        <v>83</v>
      </c>
      <c r="P371" s="40" t="s">
        <v>126</v>
      </c>
      <c r="Q371" s="40" t="s">
        <v>624</v>
      </c>
      <c r="R371" s="40">
        <v>11</v>
      </c>
      <c r="S371" s="40" t="b">
        <v>0</v>
      </c>
      <c r="T371" s="40" t="b">
        <v>1</v>
      </c>
      <c r="U371" s="42">
        <f t="shared" si="5"/>
        <v>5.95</v>
      </c>
      <c r="V371" s="42">
        <v>0</v>
      </c>
      <c r="W371" s="42">
        <v>5.95</v>
      </c>
    </row>
    <row r="372" spans="4:23" x14ac:dyDescent="0.15">
      <c r="D372" s="43" t="s">
        <v>1044</v>
      </c>
      <c r="E372" s="43" t="s">
        <v>479</v>
      </c>
      <c r="F372" s="43" t="s">
        <v>480</v>
      </c>
      <c r="G372" s="43">
        <v>1</v>
      </c>
      <c r="H372" s="44">
        <v>40513.472916666673</v>
      </c>
      <c r="I372" s="43">
        <v>7.95</v>
      </c>
      <c r="J372" s="43">
        <v>15862</v>
      </c>
      <c r="K372" s="43" t="s">
        <v>71</v>
      </c>
      <c r="L372" s="45">
        <v>7.95</v>
      </c>
      <c r="M372" s="43" t="s">
        <v>721</v>
      </c>
      <c r="N372" s="43">
        <v>2010</v>
      </c>
      <c r="O372" s="43" t="s">
        <v>83</v>
      </c>
      <c r="P372" s="43" t="s">
        <v>126</v>
      </c>
      <c r="Q372" s="43" t="s">
        <v>624</v>
      </c>
      <c r="R372" s="43">
        <v>11</v>
      </c>
      <c r="S372" s="43" t="b">
        <v>0</v>
      </c>
      <c r="T372" s="43" t="b">
        <v>1</v>
      </c>
      <c r="U372" s="45">
        <f t="shared" si="5"/>
        <v>7.95</v>
      </c>
      <c r="V372" s="45">
        <v>0</v>
      </c>
      <c r="W372" s="45">
        <v>7.95</v>
      </c>
    </row>
    <row r="373" spans="4:23" x14ac:dyDescent="0.15">
      <c r="D373" s="40" t="s">
        <v>1044</v>
      </c>
      <c r="E373" s="40" t="s">
        <v>197</v>
      </c>
      <c r="F373" s="40" t="s">
        <v>198</v>
      </c>
      <c r="G373" s="40">
        <v>1</v>
      </c>
      <c r="H373" s="41">
        <v>40513.472916666673</v>
      </c>
      <c r="I373" s="40">
        <v>1.65</v>
      </c>
      <c r="J373" s="40">
        <v>15862</v>
      </c>
      <c r="K373" s="40" t="s">
        <v>71</v>
      </c>
      <c r="L373" s="42">
        <v>1.65</v>
      </c>
      <c r="M373" s="40" t="s">
        <v>721</v>
      </c>
      <c r="N373" s="40">
        <v>2010</v>
      </c>
      <c r="O373" s="40" t="s">
        <v>83</v>
      </c>
      <c r="P373" s="40" t="s">
        <v>126</v>
      </c>
      <c r="Q373" s="40" t="s">
        <v>624</v>
      </c>
      <c r="R373" s="40">
        <v>11</v>
      </c>
      <c r="S373" s="40" t="b">
        <v>0</v>
      </c>
      <c r="T373" s="40" t="b">
        <v>1</v>
      </c>
      <c r="U373" s="42">
        <f t="shared" si="5"/>
        <v>1.65</v>
      </c>
      <c r="V373" s="42">
        <v>0</v>
      </c>
      <c r="W373" s="42">
        <v>1.65</v>
      </c>
    </row>
    <row r="374" spans="4:23" x14ac:dyDescent="0.15">
      <c r="D374" s="43" t="s">
        <v>1044</v>
      </c>
      <c r="E374" s="43" t="s">
        <v>353</v>
      </c>
      <c r="F374" s="43" t="s">
        <v>354</v>
      </c>
      <c r="G374" s="43">
        <v>2</v>
      </c>
      <c r="H374" s="44">
        <v>40513.472916666673</v>
      </c>
      <c r="I374" s="43">
        <v>1.65</v>
      </c>
      <c r="J374" s="43">
        <v>15862</v>
      </c>
      <c r="K374" s="43" t="s">
        <v>71</v>
      </c>
      <c r="L374" s="45">
        <v>3.3</v>
      </c>
      <c r="M374" s="43" t="s">
        <v>721</v>
      </c>
      <c r="N374" s="43">
        <v>2010</v>
      </c>
      <c r="O374" s="43" t="s">
        <v>83</v>
      </c>
      <c r="P374" s="43" t="s">
        <v>126</v>
      </c>
      <c r="Q374" s="43" t="s">
        <v>624</v>
      </c>
      <c r="R374" s="43">
        <v>11</v>
      </c>
      <c r="S374" s="43" t="b">
        <v>0</v>
      </c>
      <c r="T374" s="43" t="b">
        <v>1</v>
      </c>
      <c r="U374" s="45">
        <f t="shared" si="5"/>
        <v>3.3</v>
      </c>
      <c r="V374" s="45">
        <v>0</v>
      </c>
      <c r="W374" s="45">
        <v>3.3</v>
      </c>
    </row>
    <row r="375" spans="4:23" x14ac:dyDescent="0.15">
      <c r="D375" s="40" t="s">
        <v>1044</v>
      </c>
      <c r="E375" s="40" t="s">
        <v>351</v>
      </c>
      <c r="F375" s="40" t="s">
        <v>352</v>
      </c>
      <c r="G375" s="40">
        <v>1</v>
      </c>
      <c r="H375" s="41">
        <v>40513.472916666673</v>
      </c>
      <c r="I375" s="40">
        <v>1.65</v>
      </c>
      <c r="J375" s="40">
        <v>15862</v>
      </c>
      <c r="K375" s="40" t="s">
        <v>71</v>
      </c>
      <c r="L375" s="42">
        <v>1.65</v>
      </c>
      <c r="M375" s="40" t="s">
        <v>721</v>
      </c>
      <c r="N375" s="40">
        <v>2010</v>
      </c>
      <c r="O375" s="40" t="s">
        <v>83</v>
      </c>
      <c r="P375" s="40" t="s">
        <v>126</v>
      </c>
      <c r="Q375" s="40" t="s">
        <v>624</v>
      </c>
      <c r="R375" s="40">
        <v>11</v>
      </c>
      <c r="S375" s="40" t="b">
        <v>0</v>
      </c>
      <c r="T375" s="40" t="b">
        <v>1</v>
      </c>
      <c r="U375" s="42">
        <f t="shared" si="5"/>
        <v>1.65</v>
      </c>
      <c r="V375" s="42">
        <v>0</v>
      </c>
      <c r="W375" s="42">
        <v>1.65</v>
      </c>
    </row>
    <row r="376" spans="4:23" x14ac:dyDescent="0.15">
      <c r="D376" s="43" t="s">
        <v>1044</v>
      </c>
      <c r="E376" s="43" t="s">
        <v>369</v>
      </c>
      <c r="F376" s="43" t="s">
        <v>370</v>
      </c>
      <c r="G376" s="43">
        <v>1</v>
      </c>
      <c r="H376" s="44">
        <v>40513.472916666673</v>
      </c>
      <c r="I376" s="43">
        <v>1.65</v>
      </c>
      <c r="J376" s="43">
        <v>15862</v>
      </c>
      <c r="K376" s="43" t="s">
        <v>71</v>
      </c>
      <c r="L376" s="45">
        <v>1.65</v>
      </c>
      <c r="M376" s="43" t="s">
        <v>721</v>
      </c>
      <c r="N376" s="43">
        <v>2010</v>
      </c>
      <c r="O376" s="43" t="s">
        <v>83</v>
      </c>
      <c r="P376" s="43" t="s">
        <v>126</v>
      </c>
      <c r="Q376" s="43" t="s">
        <v>624</v>
      </c>
      <c r="R376" s="43">
        <v>11</v>
      </c>
      <c r="S376" s="43" t="b">
        <v>0</v>
      </c>
      <c r="T376" s="43" t="b">
        <v>1</v>
      </c>
      <c r="U376" s="45">
        <f t="shared" si="5"/>
        <v>1.65</v>
      </c>
      <c r="V376" s="45">
        <v>0</v>
      </c>
      <c r="W376" s="45">
        <v>1.65</v>
      </c>
    </row>
    <row r="377" spans="4:23" x14ac:dyDescent="0.15">
      <c r="D377" s="40" t="s">
        <v>1044</v>
      </c>
      <c r="E377" s="40" t="s">
        <v>343</v>
      </c>
      <c r="F377" s="40" t="s">
        <v>344</v>
      </c>
      <c r="G377" s="40">
        <v>5</v>
      </c>
      <c r="H377" s="41">
        <v>40513.472916666673</v>
      </c>
      <c r="I377" s="40">
        <v>2.5499999999999998</v>
      </c>
      <c r="J377" s="40">
        <v>15862</v>
      </c>
      <c r="K377" s="40" t="s">
        <v>71</v>
      </c>
      <c r="L377" s="42">
        <v>12.75</v>
      </c>
      <c r="M377" s="40" t="s">
        <v>721</v>
      </c>
      <c r="N377" s="40">
        <v>2010</v>
      </c>
      <c r="O377" s="40" t="s">
        <v>83</v>
      </c>
      <c r="P377" s="40" t="s">
        <v>126</v>
      </c>
      <c r="Q377" s="40" t="s">
        <v>624</v>
      </c>
      <c r="R377" s="40">
        <v>11</v>
      </c>
      <c r="S377" s="40" t="b">
        <v>0</v>
      </c>
      <c r="T377" s="40" t="b">
        <v>1</v>
      </c>
      <c r="U377" s="42">
        <f t="shared" si="5"/>
        <v>12.75</v>
      </c>
      <c r="V377" s="42">
        <v>0</v>
      </c>
      <c r="W377" s="42">
        <v>12.75</v>
      </c>
    </row>
    <row r="378" spans="4:23" x14ac:dyDescent="0.15">
      <c r="D378" s="43" t="s">
        <v>1044</v>
      </c>
      <c r="E378" s="43" t="s">
        <v>1131</v>
      </c>
      <c r="F378" s="43" t="s">
        <v>1132</v>
      </c>
      <c r="G378" s="43">
        <v>3</v>
      </c>
      <c r="H378" s="44">
        <v>40513.472916666673</v>
      </c>
      <c r="I378" s="43">
        <v>2.95</v>
      </c>
      <c r="J378" s="43">
        <v>15862</v>
      </c>
      <c r="K378" s="43" t="s">
        <v>71</v>
      </c>
      <c r="L378" s="45">
        <v>8.8500000000000014</v>
      </c>
      <c r="M378" s="43" t="s">
        <v>721</v>
      </c>
      <c r="N378" s="43">
        <v>2010</v>
      </c>
      <c r="O378" s="43" t="s">
        <v>83</v>
      </c>
      <c r="P378" s="43" t="s">
        <v>126</v>
      </c>
      <c r="Q378" s="43" t="s">
        <v>624</v>
      </c>
      <c r="R378" s="43">
        <v>11</v>
      </c>
      <c r="S378" s="43" t="b">
        <v>0</v>
      </c>
      <c r="T378" s="43" t="b">
        <v>1</v>
      </c>
      <c r="U378" s="45">
        <f t="shared" si="5"/>
        <v>8.8500000000000014</v>
      </c>
      <c r="V378" s="45">
        <v>0</v>
      </c>
      <c r="W378" s="45">
        <v>8.8500000000000014</v>
      </c>
    </row>
    <row r="379" spans="4:23" x14ac:dyDescent="0.15">
      <c r="D379" s="40" t="s">
        <v>1044</v>
      </c>
      <c r="E379" s="40" t="s">
        <v>1133</v>
      </c>
      <c r="F379" s="40" t="s">
        <v>1134</v>
      </c>
      <c r="G379" s="40">
        <v>3</v>
      </c>
      <c r="H379" s="41">
        <v>40513.472916666673</v>
      </c>
      <c r="I379" s="40">
        <v>2.95</v>
      </c>
      <c r="J379" s="40">
        <v>15862</v>
      </c>
      <c r="K379" s="40" t="s">
        <v>71</v>
      </c>
      <c r="L379" s="42">
        <v>8.8500000000000014</v>
      </c>
      <c r="M379" s="40" t="s">
        <v>721</v>
      </c>
      <c r="N379" s="40">
        <v>2010</v>
      </c>
      <c r="O379" s="40" t="s">
        <v>83</v>
      </c>
      <c r="P379" s="40" t="s">
        <v>126</v>
      </c>
      <c r="Q379" s="40" t="s">
        <v>624</v>
      </c>
      <c r="R379" s="40">
        <v>11</v>
      </c>
      <c r="S379" s="40" t="b">
        <v>0</v>
      </c>
      <c r="T379" s="40" t="b">
        <v>1</v>
      </c>
      <c r="U379" s="42">
        <f t="shared" si="5"/>
        <v>8.8500000000000014</v>
      </c>
      <c r="V379" s="42">
        <v>0</v>
      </c>
      <c r="W379" s="42">
        <v>8.8500000000000014</v>
      </c>
    </row>
    <row r="380" spans="4:23" x14ac:dyDescent="0.15">
      <c r="D380" s="43" t="s">
        <v>1044</v>
      </c>
      <c r="E380" s="43" t="s">
        <v>355</v>
      </c>
      <c r="F380" s="43" t="s">
        <v>356</v>
      </c>
      <c r="G380" s="43">
        <v>9</v>
      </c>
      <c r="H380" s="44">
        <v>40513.472916666673</v>
      </c>
      <c r="I380" s="43">
        <v>2.5499999999999998</v>
      </c>
      <c r="J380" s="43">
        <v>15862</v>
      </c>
      <c r="K380" s="43" t="s">
        <v>71</v>
      </c>
      <c r="L380" s="45">
        <v>22.95</v>
      </c>
      <c r="M380" s="43" t="s">
        <v>721</v>
      </c>
      <c r="N380" s="43">
        <v>2010</v>
      </c>
      <c r="O380" s="43" t="s">
        <v>83</v>
      </c>
      <c r="P380" s="43" t="s">
        <v>126</v>
      </c>
      <c r="Q380" s="43" t="s">
        <v>624</v>
      </c>
      <c r="R380" s="43">
        <v>11</v>
      </c>
      <c r="S380" s="43" t="b">
        <v>0</v>
      </c>
      <c r="T380" s="43" t="b">
        <v>1</v>
      </c>
      <c r="U380" s="45">
        <f t="shared" si="5"/>
        <v>22.95</v>
      </c>
      <c r="V380" s="45">
        <v>0</v>
      </c>
      <c r="W380" s="45">
        <v>22.95</v>
      </c>
    </row>
    <row r="381" spans="4:23" x14ac:dyDescent="0.15">
      <c r="D381" s="40" t="s">
        <v>1044</v>
      </c>
      <c r="E381" s="40" t="s">
        <v>1135</v>
      </c>
      <c r="F381" s="40" t="s">
        <v>1136</v>
      </c>
      <c r="G381" s="40">
        <v>1</v>
      </c>
      <c r="H381" s="41">
        <v>40513.472916666673</v>
      </c>
      <c r="I381" s="40">
        <v>16.95</v>
      </c>
      <c r="J381" s="40">
        <v>15862</v>
      </c>
      <c r="K381" s="40" t="s">
        <v>71</v>
      </c>
      <c r="L381" s="42">
        <v>16.95</v>
      </c>
      <c r="M381" s="40" t="s">
        <v>721</v>
      </c>
      <c r="N381" s="40">
        <v>2010</v>
      </c>
      <c r="O381" s="40" t="s">
        <v>83</v>
      </c>
      <c r="P381" s="40" t="s">
        <v>126</v>
      </c>
      <c r="Q381" s="40" t="s">
        <v>624</v>
      </c>
      <c r="R381" s="40">
        <v>11</v>
      </c>
      <c r="S381" s="40" t="b">
        <v>0</v>
      </c>
      <c r="T381" s="40" t="b">
        <v>1</v>
      </c>
      <c r="U381" s="42">
        <f t="shared" si="5"/>
        <v>16.95</v>
      </c>
      <c r="V381" s="42">
        <v>0</v>
      </c>
      <c r="W381" s="42">
        <v>16.95</v>
      </c>
    </row>
    <row r="382" spans="4:23" x14ac:dyDescent="0.15">
      <c r="D382" s="43" t="s">
        <v>1044</v>
      </c>
      <c r="E382" s="43" t="s">
        <v>799</v>
      </c>
      <c r="F382" s="43" t="s">
        <v>800</v>
      </c>
      <c r="G382" s="43">
        <v>4</v>
      </c>
      <c r="H382" s="44">
        <v>40513.472916666673</v>
      </c>
      <c r="I382" s="43">
        <v>2.95</v>
      </c>
      <c r="J382" s="43">
        <v>15862</v>
      </c>
      <c r="K382" s="43" t="s">
        <v>71</v>
      </c>
      <c r="L382" s="45">
        <v>11.8</v>
      </c>
      <c r="M382" s="43" t="s">
        <v>721</v>
      </c>
      <c r="N382" s="43">
        <v>2010</v>
      </c>
      <c r="O382" s="43" t="s">
        <v>83</v>
      </c>
      <c r="P382" s="43" t="s">
        <v>126</v>
      </c>
      <c r="Q382" s="43" t="s">
        <v>624</v>
      </c>
      <c r="R382" s="43">
        <v>11</v>
      </c>
      <c r="S382" s="43" t="b">
        <v>0</v>
      </c>
      <c r="T382" s="43" t="b">
        <v>1</v>
      </c>
      <c r="U382" s="45">
        <f t="shared" si="5"/>
        <v>11.8</v>
      </c>
      <c r="V382" s="45">
        <v>0</v>
      </c>
      <c r="W382" s="45">
        <v>11.8</v>
      </c>
    </row>
    <row r="383" spans="4:23" x14ac:dyDescent="0.15">
      <c r="D383" s="40" t="s">
        <v>1044</v>
      </c>
      <c r="E383" s="40" t="s">
        <v>1137</v>
      </c>
      <c r="F383" s="40" t="s">
        <v>1138</v>
      </c>
      <c r="G383" s="40">
        <v>1</v>
      </c>
      <c r="H383" s="41">
        <v>40513.472916666673</v>
      </c>
      <c r="I383" s="40">
        <v>10.65</v>
      </c>
      <c r="J383" s="40">
        <v>15862</v>
      </c>
      <c r="K383" s="40" t="s">
        <v>71</v>
      </c>
      <c r="L383" s="42">
        <v>10.65</v>
      </c>
      <c r="M383" s="40" t="s">
        <v>721</v>
      </c>
      <c r="N383" s="40">
        <v>2010</v>
      </c>
      <c r="O383" s="40" t="s">
        <v>83</v>
      </c>
      <c r="P383" s="40" t="s">
        <v>126</v>
      </c>
      <c r="Q383" s="40" t="s">
        <v>624</v>
      </c>
      <c r="R383" s="40">
        <v>11</v>
      </c>
      <c r="S383" s="40" t="b">
        <v>0</v>
      </c>
      <c r="T383" s="40" t="b">
        <v>1</v>
      </c>
      <c r="U383" s="42">
        <f t="shared" si="5"/>
        <v>10.65</v>
      </c>
      <c r="V383" s="42">
        <v>0</v>
      </c>
      <c r="W383" s="42">
        <v>10.65</v>
      </c>
    </row>
    <row r="384" spans="4:23" x14ac:dyDescent="0.15">
      <c r="D384" s="43" t="s">
        <v>1044</v>
      </c>
      <c r="E384" s="43" t="s">
        <v>975</v>
      </c>
      <c r="F384" s="43" t="s">
        <v>976</v>
      </c>
      <c r="G384" s="43">
        <v>1</v>
      </c>
      <c r="H384" s="44">
        <v>40513.472916666673</v>
      </c>
      <c r="I384" s="43">
        <v>4.25</v>
      </c>
      <c r="J384" s="43">
        <v>15862</v>
      </c>
      <c r="K384" s="43" t="s">
        <v>71</v>
      </c>
      <c r="L384" s="45">
        <v>4.25</v>
      </c>
      <c r="M384" s="43" t="s">
        <v>721</v>
      </c>
      <c r="N384" s="43">
        <v>2010</v>
      </c>
      <c r="O384" s="43" t="s">
        <v>83</v>
      </c>
      <c r="P384" s="43" t="s">
        <v>126</v>
      </c>
      <c r="Q384" s="43" t="s">
        <v>624</v>
      </c>
      <c r="R384" s="43">
        <v>11</v>
      </c>
      <c r="S384" s="43" t="b">
        <v>0</v>
      </c>
      <c r="T384" s="43" t="b">
        <v>1</v>
      </c>
      <c r="U384" s="45">
        <f t="shared" si="5"/>
        <v>4.25</v>
      </c>
      <c r="V384" s="45">
        <v>0</v>
      </c>
      <c r="W384" s="45">
        <v>4.25</v>
      </c>
    </row>
    <row r="385" spans="4:23" x14ac:dyDescent="0.15">
      <c r="D385" s="40" t="s">
        <v>1044</v>
      </c>
      <c r="E385" s="40" t="s">
        <v>903</v>
      </c>
      <c r="F385" s="40" t="s">
        <v>904</v>
      </c>
      <c r="G385" s="40">
        <v>2</v>
      </c>
      <c r="H385" s="41">
        <v>40513.472916666673</v>
      </c>
      <c r="I385" s="40">
        <v>6.95</v>
      </c>
      <c r="J385" s="40">
        <v>15862</v>
      </c>
      <c r="K385" s="40" t="s">
        <v>71</v>
      </c>
      <c r="L385" s="42">
        <v>13.9</v>
      </c>
      <c r="M385" s="40" t="s">
        <v>721</v>
      </c>
      <c r="N385" s="40">
        <v>2010</v>
      </c>
      <c r="O385" s="40" t="s">
        <v>83</v>
      </c>
      <c r="P385" s="40" t="s">
        <v>126</v>
      </c>
      <c r="Q385" s="40" t="s">
        <v>624</v>
      </c>
      <c r="R385" s="40">
        <v>11</v>
      </c>
      <c r="S385" s="40" t="b">
        <v>0</v>
      </c>
      <c r="T385" s="40" t="b">
        <v>1</v>
      </c>
      <c r="U385" s="42">
        <f t="shared" si="5"/>
        <v>13.9</v>
      </c>
      <c r="V385" s="42">
        <v>0</v>
      </c>
      <c r="W385" s="42">
        <v>13.9</v>
      </c>
    </row>
    <row r="386" spans="4:23" x14ac:dyDescent="0.15">
      <c r="D386" s="43" t="s">
        <v>1044</v>
      </c>
      <c r="E386" s="43" t="s">
        <v>187</v>
      </c>
      <c r="F386" s="43" t="s">
        <v>521</v>
      </c>
      <c r="G386" s="43">
        <v>2</v>
      </c>
      <c r="H386" s="44">
        <v>40513.472916666673</v>
      </c>
      <c r="I386" s="43">
        <v>5.95</v>
      </c>
      <c r="J386" s="43">
        <v>15862</v>
      </c>
      <c r="K386" s="43" t="s">
        <v>71</v>
      </c>
      <c r="L386" s="45">
        <v>11.9</v>
      </c>
      <c r="M386" s="43" t="s">
        <v>721</v>
      </c>
      <c r="N386" s="43">
        <v>2010</v>
      </c>
      <c r="O386" s="43" t="s">
        <v>83</v>
      </c>
      <c r="P386" s="43" t="s">
        <v>126</v>
      </c>
      <c r="Q386" s="43" t="s">
        <v>624</v>
      </c>
      <c r="R386" s="43">
        <v>11</v>
      </c>
      <c r="S386" s="43" t="b">
        <v>0</v>
      </c>
      <c r="T386" s="43" t="b">
        <v>1</v>
      </c>
      <c r="U386" s="45">
        <f t="shared" si="5"/>
        <v>11.9</v>
      </c>
      <c r="V386" s="45">
        <v>0</v>
      </c>
      <c r="W386" s="45">
        <v>11.9</v>
      </c>
    </row>
    <row r="387" spans="4:23" x14ac:dyDescent="0.15">
      <c r="D387" s="40" t="s">
        <v>1139</v>
      </c>
      <c r="E387" s="40" t="s">
        <v>175</v>
      </c>
      <c r="F387" s="40" t="s">
        <v>176</v>
      </c>
      <c r="G387" s="40">
        <v>40</v>
      </c>
      <c r="H387" s="41">
        <v>40513.473611111112</v>
      </c>
      <c r="I387" s="40">
        <v>2.5499999999999998</v>
      </c>
      <c r="J387" s="40">
        <v>15513</v>
      </c>
      <c r="K387" s="40" t="s">
        <v>71</v>
      </c>
      <c r="L387" s="42">
        <v>102</v>
      </c>
      <c r="M387" s="40" t="s">
        <v>721</v>
      </c>
      <c r="N387" s="40">
        <v>2010</v>
      </c>
      <c r="O387" s="40" t="s">
        <v>83</v>
      </c>
      <c r="P387" s="40" t="s">
        <v>126</v>
      </c>
      <c r="Q387" s="40" t="s">
        <v>624</v>
      </c>
      <c r="R387" s="40">
        <v>11</v>
      </c>
      <c r="S387" s="40" t="b">
        <v>0</v>
      </c>
      <c r="T387" s="40" t="b">
        <v>1</v>
      </c>
      <c r="U387" s="42">
        <f t="shared" si="5"/>
        <v>102</v>
      </c>
      <c r="V387" s="42">
        <v>0</v>
      </c>
      <c r="W387" s="42">
        <v>102</v>
      </c>
    </row>
    <row r="388" spans="4:23" x14ac:dyDescent="0.15">
      <c r="D388" s="43" t="s">
        <v>1139</v>
      </c>
      <c r="E388" s="43" t="s">
        <v>205</v>
      </c>
      <c r="F388" s="43" t="s">
        <v>206</v>
      </c>
      <c r="G388" s="43">
        <v>40</v>
      </c>
      <c r="H388" s="44">
        <v>40513.473611111112</v>
      </c>
      <c r="I388" s="43">
        <v>2.5499999999999998</v>
      </c>
      <c r="J388" s="43">
        <v>15513</v>
      </c>
      <c r="K388" s="43" t="s">
        <v>71</v>
      </c>
      <c r="L388" s="45">
        <v>102</v>
      </c>
      <c r="M388" s="43" t="s">
        <v>721</v>
      </c>
      <c r="N388" s="43">
        <v>2010</v>
      </c>
      <c r="O388" s="43" t="s">
        <v>83</v>
      </c>
      <c r="P388" s="43" t="s">
        <v>126</v>
      </c>
      <c r="Q388" s="43" t="s">
        <v>624</v>
      </c>
      <c r="R388" s="43">
        <v>11</v>
      </c>
      <c r="S388" s="43" t="b">
        <v>0</v>
      </c>
      <c r="T388" s="43" t="b">
        <v>1</v>
      </c>
      <c r="U388" s="45">
        <f t="shared" si="5"/>
        <v>102</v>
      </c>
      <c r="V388" s="45">
        <v>0</v>
      </c>
      <c r="W388" s="45">
        <v>102</v>
      </c>
    </row>
    <row r="389" spans="4:23" x14ac:dyDescent="0.15">
      <c r="D389" s="40" t="s">
        <v>1139</v>
      </c>
      <c r="E389" s="40" t="s">
        <v>1140</v>
      </c>
      <c r="F389" s="40" t="s">
        <v>1141</v>
      </c>
      <c r="G389" s="40">
        <v>36</v>
      </c>
      <c r="H389" s="41">
        <v>40513.473611111112</v>
      </c>
      <c r="I389" s="40">
        <v>4.25</v>
      </c>
      <c r="J389" s="40">
        <v>15513</v>
      </c>
      <c r="K389" s="40" t="s">
        <v>71</v>
      </c>
      <c r="L389" s="42">
        <v>153</v>
      </c>
      <c r="M389" s="40" t="s">
        <v>721</v>
      </c>
      <c r="N389" s="40">
        <v>2010</v>
      </c>
      <c r="O389" s="40" t="s">
        <v>83</v>
      </c>
      <c r="P389" s="40" t="s">
        <v>126</v>
      </c>
      <c r="Q389" s="40" t="s">
        <v>624</v>
      </c>
      <c r="R389" s="40">
        <v>11</v>
      </c>
      <c r="S389" s="40" t="b">
        <v>0</v>
      </c>
      <c r="T389" s="40" t="b">
        <v>1</v>
      </c>
      <c r="U389" s="42">
        <f t="shared" ref="U389:U452" si="6">IF(T389,L389,0)</f>
        <v>153</v>
      </c>
      <c r="V389" s="42">
        <v>0</v>
      </c>
      <c r="W389" s="42">
        <v>153</v>
      </c>
    </row>
    <row r="390" spans="4:23" x14ac:dyDescent="0.15">
      <c r="D390" s="43" t="s">
        <v>1142</v>
      </c>
      <c r="E390" s="43" t="s">
        <v>435</v>
      </c>
      <c r="F390" s="43" t="s">
        <v>436</v>
      </c>
      <c r="G390" s="43">
        <v>96</v>
      </c>
      <c r="H390" s="44">
        <v>40513.477083333331</v>
      </c>
      <c r="I390" s="43">
        <v>1.85</v>
      </c>
      <c r="J390" s="43">
        <v>12791</v>
      </c>
      <c r="K390" s="43" t="s">
        <v>59</v>
      </c>
      <c r="L390" s="45">
        <v>177.6</v>
      </c>
      <c r="M390" s="43" t="s">
        <v>721</v>
      </c>
      <c r="N390" s="43">
        <v>2010</v>
      </c>
      <c r="O390" s="43" t="s">
        <v>83</v>
      </c>
      <c r="P390" s="43" t="s">
        <v>126</v>
      </c>
      <c r="Q390" s="43" t="s">
        <v>624</v>
      </c>
      <c r="R390" s="43">
        <v>11</v>
      </c>
      <c r="S390" s="43" t="b">
        <v>0</v>
      </c>
      <c r="T390" s="43" t="b">
        <v>1</v>
      </c>
      <c r="U390" s="45">
        <f t="shared" si="6"/>
        <v>177.6</v>
      </c>
      <c r="V390" s="45">
        <v>0</v>
      </c>
      <c r="W390" s="45">
        <v>177.6</v>
      </c>
    </row>
    <row r="391" spans="4:23" x14ac:dyDescent="0.15">
      <c r="D391" s="40" t="s">
        <v>1142</v>
      </c>
      <c r="E391" s="40" t="s">
        <v>173</v>
      </c>
      <c r="F391" s="40" t="s">
        <v>107</v>
      </c>
      <c r="G391" s="40">
        <v>1</v>
      </c>
      <c r="H391" s="41">
        <v>40513.477083333331</v>
      </c>
      <c r="I391" s="40">
        <v>15</v>
      </c>
      <c r="J391" s="40">
        <v>12791</v>
      </c>
      <c r="K391" s="40" t="s">
        <v>59</v>
      </c>
      <c r="L391" s="42">
        <v>15</v>
      </c>
      <c r="M391" s="40" t="s">
        <v>721</v>
      </c>
      <c r="N391" s="40">
        <v>2010</v>
      </c>
      <c r="O391" s="40" t="s">
        <v>83</v>
      </c>
      <c r="P391" s="40" t="s">
        <v>126</v>
      </c>
      <c r="Q391" s="40" t="s">
        <v>624</v>
      </c>
      <c r="R391" s="40">
        <v>11</v>
      </c>
      <c r="S391" s="40" t="b">
        <v>0</v>
      </c>
      <c r="T391" s="40" t="b">
        <v>1</v>
      </c>
      <c r="U391" s="42">
        <f t="shared" si="6"/>
        <v>15</v>
      </c>
      <c r="V391" s="42">
        <v>0</v>
      </c>
      <c r="W391" s="42">
        <v>15</v>
      </c>
    </row>
    <row r="392" spans="4:23" x14ac:dyDescent="0.15">
      <c r="D392" s="43" t="s">
        <v>1143</v>
      </c>
      <c r="E392" s="43" t="s">
        <v>1144</v>
      </c>
      <c r="F392" s="43" t="s">
        <v>1145</v>
      </c>
      <c r="G392" s="43">
        <v>24</v>
      </c>
      <c r="H392" s="44">
        <v>40513.478472222218</v>
      </c>
      <c r="I392" s="43">
        <v>1.25</v>
      </c>
      <c r="J392" s="43">
        <v>16218</v>
      </c>
      <c r="K392" s="43" t="s">
        <v>71</v>
      </c>
      <c r="L392" s="45">
        <v>30</v>
      </c>
      <c r="M392" s="43" t="s">
        <v>721</v>
      </c>
      <c r="N392" s="43">
        <v>2010</v>
      </c>
      <c r="O392" s="43" t="s">
        <v>83</v>
      </c>
      <c r="P392" s="43" t="s">
        <v>126</v>
      </c>
      <c r="Q392" s="43" t="s">
        <v>624</v>
      </c>
      <c r="R392" s="43">
        <v>11</v>
      </c>
      <c r="S392" s="43" t="b">
        <v>0</v>
      </c>
      <c r="T392" s="43" t="b">
        <v>1</v>
      </c>
      <c r="U392" s="45">
        <f t="shared" si="6"/>
        <v>30</v>
      </c>
      <c r="V392" s="45">
        <v>0</v>
      </c>
      <c r="W392" s="45">
        <v>30</v>
      </c>
    </row>
    <row r="393" spans="4:23" x14ac:dyDescent="0.15">
      <c r="D393" s="40" t="s">
        <v>1143</v>
      </c>
      <c r="E393" s="40" t="s">
        <v>831</v>
      </c>
      <c r="F393" s="40" t="s">
        <v>832</v>
      </c>
      <c r="G393" s="40">
        <v>12</v>
      </c>
      <c r="H393" s="41">
        <v>40513.478472222218</v>
      </c>
      <c r="I393" s="40">
        <v>1.25</v>
      </c>
      <c r="J393" s="40">
        <v>16218</v>
      </c>
      <c r="K393" s="40" t="s">
        <v>71</v>
      </c>
      <c r="L393" s="42">
        <v>15</v>
      </c>
      <c r="M393" s="40" t="s">
        <v>721</v>
      </c>
      <c r="N393" s="40">
        <v>2010</v>
      </c>
      <c r="O393" s="40" t="s">
        <v>83</v>
      </c>
      <c r="P393" s="40" t="s">
        <v>126</v>
      </c>
      <c r="Q393" s="40" t="s">
        <v>624</v>
      </c>
      <c r="R393" s="40">
        <v>11</v>
      </c>
      <c r="S393" s="40" t="b">
        <v>0</v>
      </c>
      <c r="T393" s="40" t="b">
        <v>1</v>
      </c>
      <c r="U393" s="42">
        <f t="shared" si="6"/>
        <v>15</v>
      </c>
      <c r="V393" s="42">
        <v>0</v>
      </c>
      <c r="W393" s="42">
        <v>15</v>
      </c>
    </row>
    <row r="394" spans="4:23" x14ac:dyDescent="0.15">
      <c r="D394" s="43" t="s">
        <v>1143</v>
      </c>
      <c r="E394" s="43" t="s">
        <v>1146</v>
      </c>
      <c r="F394" s="43" t="s">
        <v>1147</v>
      </c>
      <c r="G394" s="43">
        <v>12</v>
      </c>
      <c r="H394" s="44">
        <v>40513.478472222218</v>
      </c>
      <c r="I394" s="43">
        <v>1.25</v>
      </c>
      <c r="J394" s="43">
        <v>16218</v>
      </c>
      <c r="K394" s="43" t="s">
        <v>71</v>
      </c>
      <c r="L394" s="45">
        <v>15</v>
      </c>
      <c r="M394" s="43" t="s">
        <v>721</v>
      </c>
      <c r="N394" s="43">
        <v>2010</v>
      </c>
      <c r="O394" s="43" t="s">
        <v>83</v>
      </c>
      <c r="P394" s="43" t="s">
        <v>126</v>
      </c>
      <c r="Q394" s="43" t="s">
        <v>624</v>
      </c>
      <c r="R394" s="43">
        <v>11</v>
      </c>
      <c r="S394" s="43" t="b">
        <v>0</v>
      </c>
      <c r="T394" s="43" t="b">
        <v>1</v>
      </c>
      <c r="U394" s="45">
        <f t="shared" si="6"/>
        <v>15</v>
      </c>
      <c r="V394" s="45">
        <v>0</v>
      </c>
      <c r="W394" s="45">
        <v>15</v>
      </c>
    </row>
    <row r="395" spans="4:23" x14ac:dyDescent="0.15">
      <c r="D395" s="40" t="s">
        <v>1143</v>
      </c>
      <c r="E395" s="40" t="s">
        <v>1148</v>
      </c>
      <c r="F395" s="40" t="s">
        <v>1149</v>
      </c>
      <c r="G395" s="40">
        <v>12</v>
      </c>
      <c r="H395" s="41">
        <v>40513.478472222218</v>
      </c>
      <c r="I395" s="40">
        <v>1.25</v>
      </c>
      <c r="J395" s="40">
        <v>16218</v>
      </c>
      <c r="K395" s="40" t="s">
        <v>71</v>
      </c>
      <c r="L395" s="42">
        <v>15</v>
      </c>
      <c r="M395" s="40" t="s">
        <v>721</v>
      </c>
      <c r="N395" s="40">
        <v>2010</v>
      </c>
      <c r="O395" s="40" t="s">
        <v>83</v>
      </c>
      <c r="P395" s="40" t="s">
        <v>126</v>
      </c>
      <c r="Q395" s="40" t="s">
        <v>624</v>
      </c>
      <c r="R395" s="40">
        <v>11</v>
      </c>
      <c r="S395" s="40" t="b">
        <v>0</v>
      </c>
      <c r="T395" s="40" t="b">
        <v>1</v>
      </c>
      <c r="U395" s="42">
        <f t="shared" si="6"/>
        <v>15</v>
      </c>
      <c r="V395" s="42">
        <v>0</v>
      </c>
      <c r="W395" s="42">
        <v>15</v>
      </c>
    </row>
    <row r="396" spans="4:23" x14ac:dyDescent="0.15">
      <c r="D396" s="43" t="s">
        <v>1143</v>
      </c>
      <c r="E396" s="43" t="s">
        <v>1150</v>
      </c>
      <c r="F396" s="43" t="s">
        <v>1151</v>
      </c>
      <c r="G396" s="43">
        <v>12</v>
      </c>
      <c r="H396" s="44">
        <v>40513.478472222218</v>
      </c>
      <c r="I396" s="43">
        <v>1.25</v>
      </c>
      <c r="J396" s="43">
        <v>16218</v>
      </c>
      <c r="K396" s="43" t="s">
        <v>71</v>
      </c>
      <c r="L396" s="45">
        <v>15</v>
      </c>
      <c r="M396" s="43" t="s">
        <v>721</v>
      </c>
      <c r="N396" s="43">
        <v>2010</v>
      </c>
      <c r="O396" s="43" t="s">
        <v>83</v>
      </c>
      <c r="P396" s="43" t="s">
        <v>126</v>
      </c>
      <c r="Q396" s="43" t="s">
        <v>624</v>
      </c>
      <c r="R396" s="43">
        <v>11</v>
      </c>
      <c r="S396" s="43" t="b">
        <v>0</v>
      </c>
      <c r="T396" s="43" t="b">
        <v>1</v>
      </c>
      <c r="U396" s="45">
        <f t="shared" si="6"/>
        <v>15</v>
      </c>
      <c r="V396" s="45">
        <v>0</v>
      </c>
      <c r="W396" s="45">
        <v>15</v>
      </c>
    </row>
    <row r="397" spans="4:23" x14ac:dyDescent="0.15">
      <c r="D397" s="40" t="s">
        <v>1143</v>
      </c>
      <c r="E397" s="40" t="s">
        <v>211</v>
      </c>
      <c r="F397" s="40" t="s">
        <v>212</v>
      </c>
      <c r="G397" s="40">
        <v>12</v>
      </c>
      <c r="H397" s="41">
        <v>40513.478472222218</v>
      </c>
      <c r="I397" s="40">
        <v>1.65</v>
      </c>
      <c r="J397" s="40">
        <v>16218</v>
      </c>
      <c r="K397" s="40" t="s">
        <v>71</v>
      </c>
      <c r="L397" s="42">
        <v>19.8</v>
      </c>
      <c r="M397" s="40" t="s">
        <v>721</v>
      </c>
      <c r="N397" s="40">
        <v>2010</v>
      </c>
      <c r="O397" s="40" t="s">
        <v>83</v>
      </c>
      <c r="P397" s="40" t="s">
        <v>126</v>
      </c>
      <c r="Q397" s="40" t="s">
        <v>624</v>
      </c>
      <c r="R397" s="40">
        <v>11</v>
      </c>
      <c r="S397" s="40" t="b">
        <v>0</v>
      </c>
      <c r="T397" s="40" t="b">
        <v>1</v>
      </c>
      <c r="U397" s="42">
        <f t="shared" si="6"/>
        <v>19.8</v>
      </c>
      <c r="V397" s="42">
        <v>0</v>
      </c>
      <c r="W397" s="42">
        <v>19.8</v>
      </c>
    </row>
    <row r="398" spans="4:23" x14ac:dyDescent="0.15">
      <c r="D398" s="43" t="s">
        <v>1143</v>
      </c>
      <c r="E398" s="43" t="s">
        <v>199</v>
      </c>
      <c r="F398" s="43" t="s">
        <v>380</v>
      </c>
      <c r="G398" s="43">
        <v>36</v>
      </c>
      <c r="H398" s="44">
        <v>40513.478472222218</v>
      </c>
      <c r="I398" s="43">
        <v>0.85</v>
      </c>
      <c r="J398" s="43">
        <v>16218</v>
      </c>
      <c r="K398" s="43" t="s">
        <v>71</v>
      </c>
      <c r="L398" s="45">
        <v>30.6</v>
      </c>
      <c r="M398" s="43" t="s">
        <v>721</v>
      </c>
      <c r="N398" s="43">
        <v>2010</v>
      </c>
      <c r="O398" s="43" t="s">
        <v>83</v>
      </c>
      <c r="P398" s="43" t="s">
        <v>126</v>
      </c>
      <c r="Q398" s="43" t="s">
        <v>624</v>
      </c>
      <c r="R398" s="43">
        <v>11</v>
      </c>
      <c r="S398" s="43" t="b">
        <v>0</v>
      </c>
      <c r="T398" s="43" t="b">
        <v>1</v>
      </c>
      <c r="U398" s="45">
        <f t="shared" si="6"/>
        <v>30.6</v>
      </c>
      <c r="V398" s="45">
        <v>0</v>
      </c>
      <c r="W398" s="45">
        <v>30.6</v>
      </c>
    </row>
    <row r="399" spans="4:23" x14ac:dyDescent="0.15">
      <c r="D399" s="40" t="s">
        <v>1143</v>
      </c>
      <c r="E399" s="40" t="s">
        <v>1152</v>
      </c>
      <c r="F399" s="40" t="s">
        <v>1153</v>
      </c>
      <c r="G399" s="40">
        <v>12</v>
      </c>
      <c r="H399" s="41">
        <v>40513.478472222218</v>
      </c>
      <c r="I399" s="40">
        <v>1.25</v>
      </c>
      <c r="J399" s="40">
        <v>16218</v>
      </c>
      <c r="K399" s="40" t="s">
        <v>71</v>
      </c>
      <c r="L399" s="42">
        <v>15</v>
      </c>
      <c r="M399" s="40" t="s">
        <v>721</v>
      </c>
      <c r="N399" s="40">
        <v>2010</v>
      </c>
      <c r="O399" s="40" t="s">
        <v>83</v>
      </c>
      <c r="P399" s="40" t="s">
        <v>126</v>
      </c>
      <c r="Q399" s="40" t="s">
        <v>624</v>
      </c>
      <c r="R399" s="40">
        <v>11</v>
      </c>
      <c r="S399" s="40" t="b">
        <v>0</v>
      </c>
      <c r="T399" s="40" t="b">
        <v>1</v>
      </c>
      <c r="U399" s="42">
        <f t="shared" si="6"/>
        <v>15</v>
      </c>
      <c r="V399" s="42">
        <v>0</v>
      </c>
      <c r="W399" s="42">
        <v>15</v>
      </c>
    </row>
    <row r="400" spans="4:23" x14ac:dyDescent="0.15">
      <c r="D400" s="43" t="s">
        <v>1143</v>
      </c>
      <c r="E400" s="43" t="s">
        <v>1154</v>
      </c>
      <c r="F400" s="43" t="s">
        <v>1155</v>
      </c>
      <c r="G400" s="43">
        <v>12</v>
      </c>
      <c r="H400" s="44">
        <v>40513.478472222218</v>
      </c>
      <c r="I400" s="43">
        <v>1.25</v>
      </c>
      <c r="J400" s="43">
        <v>16218</v>
      </c>
      <c r="K400" s="43" t="s">
        <v>71</v>
      </c>
      <c r="L400" s="45">
        <v>15</v>
      </c>
      <c r="M400" s="43" t="s">
        <v>721</v>
      </c>
      <c r="N400" s="43">
        <v>2010</v>
      </c>
      <c r="O400" s="43" t="s">
        <v>83</v>
      </c>
      <c r="P400" s="43" t="s">
        <v>126</v>
      </c>
      <c r="Q400" s="43" t="s">
        <v>624</v>
      </c>
      <c r="R400" s="43">
        <v>11</v>
      </c>
      <c r="S400" s="43" t="b">
        <v>0</v>
      </c>
      <c r="T400" s="43" t="b">
        <v>1</v>
      </c>
      <c r="U400" s="45">
        <f t="shared" si="6"/>
        <v>15</v>
      </c>
      <c r="V400" s="45">
        <v>0</v>
      </c>
      <c r="W400" s="45">
        <v>15</v>
      </c>
    </row>
    <row r="401" spans="4:23" x14ac:dyDescent="0.15">
      <c r="D401" s="40" t="s">
        <v>1143</v>
      </c>
      <c r="E401" s="40" t="s">
        <v>1156</v>
      </c>
      <c r="F401" s="40" t="s">
        <v>1157</v>
      </c>
      <c r="G401" s="40">
        <v>12</v>
      </c>
      <c r="H401" s="41">
        <v>40513.478472222218</v>
      </c>
      <c r="I401" s="40">
        <v>1.25</v>
      </c>
      <c r="J401" s="40">
        <v>16218</v>
      </c>
      <c r="K401" s="40" t="s">
        <v>71</v>
      </c>
      <c r="L401" s="42">
        <v>15</v>
      </c>
      <c r="M401" s="40" t="s">
        <v>721</v>
      </c>
      <c r="N401" s="40">
        <v>2010</v>
      </c>
      <c r="O401" s="40" t="s">
        <v>83</v>
      </c>
      <c r="P401" s="40" t="s">
        <v>126</v>
      </c>
      <c r="Q401" s="40" t="s">
        <v>624</v>
      </c>
      <c r="R401" s="40">
        <v>11</v>
      </c>
      <c r="S401" s="40" t="b">
        <v>0</v>
      </c>
      <c r="T401" s="40" t="b">
        <v>1</v>
      </c>
      <c r="U401" s="42">
        <f t="shared" si="6"/>
        <v>15</v>
      </c>
      <c r="V401" s="42">
        <v>0</v>
      </c>
      <c r="W401" s="42">
        <v>15</v>
      </c>
    </row>
    <row r="402" spans="4:23" x14ac:dyDescent="0.15">
      <c r="D402" s="43" t="s">
        <v>1143</v>
      </c>
      <c r="E402" s="43" t="s">
        <v>1158</v>
      </c>
      <c r="F402" s="43" t="s">
        <v>1159</v>
      </c>
      <c r="G402" s="43">
        <v>12</v>
      </c>
      <c r="H402" s="44">
        <v>40513.478472222218</v>
      </c>
      <c r="I402" s="43">
        <v>1.25</v>
      </c>
      <c r="J402" s="43">
        <v>16218</v>
      </c>
      <c r="K402" s="43" t="s">
        <v>71</v>
      </c>
      <c r="L402" s="45">
        <v>15</v>
      </c>
      <c r="M402" s="43" t="s">
        <v>721</v>
      </c>
      <c r="N402" s="43">
        <v>2010</v>
      </c>
      <c r="O402" s="43" t="s">
        <v>83</v>
      </c>
      <c r="P402" s="43" t="s">
        <v>126</v>
      </c>
      <c r="Q402" s="43" t="s">
        <v>624</v>
      </c>
      <c r="R402" s="43">
        <v>11</v>
      </c>
      <c r="S402" s="43" t="b">
        <v>0</v>
      </c>
      <c r="T402" s="43" t="b">
        <v>1</v>
      </c>
      <c r="U402" s="45">
        <f t="shared" si="6"/>
        <v>15</v>
      </c>
      <c r="V402" s="45">
        <v>0</v>
      </c>
      <c r="W402" s="45">
        <v>15</v>
      </c>
    </row>
    <row r="403" spans="4:23" x14ac:dyDescent="0.15">
      <c r="D403" s="40" t="s">
        <v>1143</v>
      </c>
      <c r="E403" s="40" t="s">
        <v>1059</v>
      </c>
      <c r="F403" s="40" t="s">
        <v>1060</v>
      </c>
      <c r="G403" s="40">
        <v>12</v>
      </c>
      <c r="H403" s="41">
        <v>40513.478472222218</v>
      </c>
      <c r="I403" s="40">
        <v>1.25</v>
      </c>
      <c r="J403" s="40">
        <v>16218</v>
      </c>
      <c r="K403" s="40" t="s">
        <v>71</v>
      </c>
      <c r="L403" s="42">
        <v>15</v>
      </c>
      <c r="M403" s="40" t="s">
        <v>721</v>
      </c>
      <c r="N403" s="40">
        <v>2010</v>
      </c>
      <c r="O403" s="40" t="s">
        <v>83</v>
      </c>
      <c r="P403" s="40" t="s">
        <v>126</v>
      </c>
      <c r="Q403" s="40" t="s">
        <v>624</v>
      </c>
      <c r="R403" s="40">
        <v>11</v>
      </c>
      <c r="S403" s="40" t="b">
        <v>0</v>
      </c>
      <c r="T403" s="40" t="b">
        <v>1</v>
      </c>
      <c r="U403" s="42">
        <f t="shared" si="6"/>
        <v>15</v>
      </c>
      <c r="V403" s="42">
        <v>0</v>
      </c>
      <c r="W403" s="42">
        <v>15</v>
      </c>
    </row>
    <row r="404" spans="4:23" x14ac:dyDescent="0.15">
      <c r="D404" s="43" t="s">
        <v>1143</v>
      </c>
      <c r="E404" s="43" t="s">
        <v>1160</v>
      </c>
      <c r="F404" s="43" t="s">
        <v>1161</v>
      </c>
      <c r="G404" s="43">
        <v>12</v>
      </c>
      <c r="H404" s="44">
        <v>40513.478472222218</v>
      </c>
      <c r="I404" s="43">
        <v>1.25</v>
      </c>
      <c r="J404" s="43">
        <v>16218</v>
      </c>
      <c r="K404" s="43" t="s">
        <v>71</v>
      </c>
      <c r="L404" s="45">
        <v>15</v>
      </c>
      <c r="M404" s="43" t="s">
        <v>721</v>
      </c>
      <c r="N404" s="43">
        <v>2010</v>
      </c>
      <c r="O404" s="43" t="s">
        <v>83</v>
      </c>
      <c r="P404" s="43" t="s">
        <v>126</v>
      </c>
      <c r="Q404" s="43" t="s">
        <v>624</v>
      </c>
      <c r="R404" s="43">
        <v>11</v>
      </c>
      <c r="S404" s="43" t="b">
        <v>0</v>
      </c>
      <c r="T404" s="43" t="b">
        <v>1</v>
      </c>
      <c r="U404" s="45">
        <f t="shared" si="6"/>
        <v>15</v>
      </c>
      <c r="V404" s="45">
        <v>0</v>
      </c>
      <c r="W404" s="45">
        <v>15</v>
      </c>
    </row>
    <row r="405" spans="4:23" x14ac:dyDescent="0.15">
      <c r="D405" s="40" t="s">
        <v>1143</v>
      </c>
      <c r="E405" s="40" t="s">
        <v>1162</v>
      </c>
      <c r="F405" s="40" t="s">
        <v>1163</v>
      </c>
      <c r="G405" s="40">
        <v>12</v>
      </c>
      <c r="H405" s="41">
        <v>40513.478472222218</v>
      </c>
      <c r="I405" s="40">
        <v>0.85</v>
      </c>
      <c r="J405" s="40">
        <v>16218</v>
      </c>
      <c r="K405" s="40" t="s">
        <v>71</v>
      </c>
      <c r="L405" s="42">
        <v>10.199999999999999</v>
      </c>
      <c r="M405" s="40" t="s">
        <v>721</v>
      </c>
      <c r="N405" s="40">
        <v>2010</v>
      </c>
      <c r="O405" s="40" t="s">
        <v>83</v>
      </c>
      <c r="P405" s="40" t="s">
        <v>126</v>
      </c>
      <c r="Q405" s="40" t="s">
        <v>624</v>
      </c>
      <c r="R405" s="40">
        <v>11</v>
      </c>
      <c r="S405" s="40" t="b">
        <v>0</v>
      </c>
      <c r="T405" s="40" t="b">
        <v>1</v>
      </c>
      <c r="U405" s="42">
        <f t="shared" si="6"/>
        <v>10.199999999999999</v>
      </c>
      <c r="V405" s="42">
        <v>0</v>
      </c>
      <c r="W405" s="42">
        <v>10.199999999999999</v>
      </c>
    </row>
    <row r="406" spans="4:23" x14ac:dyDescent="0.15">
      <c r="D406" s="43" t="s">
        <v>1143</v>
      </c>
      <c r="E406" s="43" t="s">
        <v>1164</v>
      </c>
      <c r="F406" s="43" t="s">
        <v>1165</v>
      </c>
      <c r="G406" s="43">
        <v>12</v>
      </c>
      <c r="H406" s="44">
        <v>40513.478472222218</v>
      </c>
      <c r="I406" s="43">
        <v>0.85</v>
      </c>
      <c r="J406" s="43">
        <v>16218</v>
      </c>
      <c r="K406" s="43" t="s">
        <v>71</v>
      </c>
      <c r="L406" s="45">
        <v>10.199999999999999</v>
      </c>
      <c r="M406" s="43" t="s">
        <v>721</v>
      </c>
      <c r="N406" s="43">
        <v>2010</v>
      </c>
      <c r="O406" s="43" t="s">
        <v>83</v>
      </c>
      <c r="P406" s="43" t="s">
        <v>126</v>
      </c>
      <c r="Q406" s="43" t="s">
        <v>624</v>
      </c>
      <c r="R406" s="43">
        <v>11</v>
      </c>
      <c r="S406" s="43" t="b">
        <v>0</v>
      </c>
      <c r="T406" s="43" t="b">
        <v>1</v>
      </c>
      <c r="U406" s="45">
        <f t="shared" si="6"/>
        <v>10.199999999999999</v>
      </c>
      <c r="V406" s="45">
        <v>0</v>
      </c>
      <c r="W406" s="45">
        <v>10.199999999999999</v>
      </c>
    </row>
    <row r="407" spans="4:23" x14ac:dyDescent="0.15">
      <c r="D407" s="40" t="s">
        <v>1143</v>
      </c>
      <c r="E407" s="40" t="s">
        <v>1166</v>
      </c>
      <c r="F407" s="40" t="s">
        <v>1167</v>
      </c>
      <c r="G407" s="40">
        <v>12</v>
      </c>
      <c r="H407" s="41">
        <v>40513.478472222218</v>
      </c>
      <c r="I407" s="40">
        <v>0.85</v>
      </c>
      <c r="J407" s="40">
        <v>16218</v>
      </c>
      <c r="K407" s="40" t="s">
        <v>71</v>
      </c>
      <c r="L407" s="42">
        <v>10.199999999999999</v>
      </c>
      <c r="M407" s="40" t="s">
        <v>721</v>
      </c>
      <c r="N407" s="40">
        <v>2010</v>
      </c>
      <c r="O407" s="40" t="s">
        <v>83</v>
      </c>
      <c r="P407" s="40" t="s">
        <v>126</v>
      </c>
      <c r="Q407" s="40" t="s">
        <v>624</v>
      </c>
      <c r="R407" s="40">
        <v>11</v>
      </c>
      <c r="S407" s="40" t="b">
        <v>0</v>
      </c>
      <c r="T407" s="40" t="b">
        <v>1</v>
      </c>
      <c r="U407" s="42">
        <f t="shared" si="6"/>
        <v>10.199999999999999</v>
      </c>
      <c r="V407" s="42">
        <v>0</v>
      </c>
      <c r="W407" s="42">
        <v>10.199999999999999</v>
      </c>
    </row>
    <row r="408" spans="4:23" x14ac:dyDescent="0.15">
      <c r="D408" s="43" t="s">
        <v>1143</v>
      </c>
      <c r="E408" s="43" t="s">
        <v>1168</v>
      </c>
      <c r="F408" s="43" t="s">
        <v>1169</v>
      </c>
      <c r="G408" s="43">
        <v>12</v>
      </c>
      <c r="H408" s="44">
        <v>40513.478472222218</v>
      </c>
      <c r="I408" s="43">
        <v>1.25</v>
      </c>
      <c r="J408" s="43">
        <v>16218</v>
      </c>
      <c r="K408" s="43" t="s">
        <v>71</v>
      </c>
      <c r="L408" s="45">
        <v>15</v>
      </c>
      <c r="M408" s="43" t="s">
        <v>721</v>
      </c>
      <c r="N408" s="43">
        <v>2010</v>
      </c>
      <c r="O408" s="43" t="s">
        <v>83</v>
      </c>
      <c r="P408" s="43" t="s">
        <v>126</v>
      </c>
      <c r="Q408" s="43" t="s">
        <v>624</v>
      </c>
      <c r="R408" s="43">
        <v>11</v>
      </c>
      <c r="S408" s="43" t="b">
        <v>0</v>
      </c>
      <c r="T408" s="43" t="b">
        <v>1</v>
      </c>
      <c r="U408" s="45">
        <f t="shared" si="6"/>
        <v>15</v>
      </c>
      <c r="V408" s="45">
        <v>0</v>
      </c>
      <c r="W408" s="45">
        <v>15</v>
      </c>
    </row>
    <row r="409" spans="4:23" x14ac:dyDescent="0.15">
      <c r="D409" s="40" t="s">
        <v>1143</v>
      </c>
      <c r="E409" s="40" t="s">
        <v>1170</v>
      </c>
      <c r="F409" s="40" t="s">
        <v>1171</v>
      </c>
      <c r="G409" s="40">
        <v>12</v>
      </c>
      <c r="H409" s="41">
        <v>40513.478472222218</v>
      </c>
      <c r="I409" s="40">
        <v>1.25</v>
      </c>
      <c r="J409" s="40">
        <v>16218</v>
      </c>
      <c r="K409" s="40" t="s">
        <v>71</v>
      </c>
      <c r="L409" s="42">
        <v>15</v>
      </c>
      <c r="M409" s="40" t="s">
        <v>721</v>
      </c>
      <c r="N409" s="40">
        <v>2010</v>
      </c>
      <c r="O409" s="40" t="s">
        <v>83</v>
      </c>
      <c r="P409" s="40" t="s">
        <v>126</v>
      </c>
      <c r="Q409" s="40" t="s">
        <v>624</v>
      </c>
      <c r="R409" s="40">
        <v>11</v>
      </c>
      <c r="S409" s="40" t="b">
        <v>0</v>
      </c>
      <c r="T409" s="40" t="b">
        <v>1</v>
      </c>
      <c r="U409" s="42">
        <f t="shared" si="6"/>
        <v>15</v>
      </c>
      <c r="V409" s="42">
        <v>0</v>
      </c>
      <c r="W409" s="42">
        <v>15</v>
      </c>
    </row>
    <row r="410" spans="4:23" x14ac:dyDescent="0.15">
      <c r="D410" s="43" t="s">
        <v>1143</v>
      </c>
      <c r="E410" s="43" t="s">
        <v>1172</v>
      </c>
      <c r="F410" s="43" t="s">
        <v>1173</v>
      </c>
      <c r="G410" s="43">
        <v>12</v>
      </c>
      <c r="H410" s="44">
        <v>40513.478472222218</v>
      </c>
      <c r="I410" s="43">
        <v>2.1</v>
      </c>
      <c r="J410" s="43">
        <v>16218</v>
      </c>
      <c r="K410" s="43" t="s">
        <v>71</v>
      </c>
      <c r="L410" s="45">
        <v>25.2</v>
      </c>
      <c r="M410" s="43" t="s">
        <v>721</v>
      </c>
      <c r="N410" s="43">
        <v>2010</v>
      </c>
      <c r="O410" s="43" t="s">
        <v>83</v>
      </c>
      <c r="P410" s="43" t="s">
        <v>126</v>
      </c>
      <c r="Q410" s="43" t="s">
        <v>624</v>
      </c>
      <c r="R410" s="43">
        <v>11</v>
      </c>
      <c r="S410" s="43" t="b">
        <v>0</v>
      </c>
      <c r="T410" s="43" t="b">
        <v>1</v>
      </c>
      <c r="U410" s="45">
        <f t="shared" si="6"/>
        <v>25.2</v>
      </c>
      <c r="V410" s="45">
        <v>0</v>
      </c>
      <c r="W410" s="45">
        <v>25.2</v>
      </c>
    </row>
    <row r="411" spans="4:23" x14ac:dyDescent="0.15">
      <c r="D411" s="40" t="s">
        <v>1143</v>
      </c>
      <c r="E411" s="40" t="s">
        <v>1174</v>
      </c>
      <c r="F411" s="40" t="s">
        <v>1175</v>
      </c>
      <c r="G411" s="40">
        <v>24</v>
      </c>
      <c r="H411" s="41">
        <v>40513.478472222218</v>
      </c>
      <c r="I411" s="40">
        <v>0.55000000000000004</v>
      </c>
      <c r="J411" s="40">
        <v>16218</v>
      </c>
      <c r="K411" s="40" t="s">
        <v>71</v>
      </c>
      <c r="L411" s="42">
        <v>13.2</v>
      </c>
      <c r="M411" s="40" t="s">
        <v>721</v>
      </c>
      <c r="N411" s="40">
        <v>2010</v>
      </c>
      <c r="O411" s="40" t="s">
        <v>83</v>
      </c>
      <c r="P411" s="40" t="s">
        <v>126</v>
      </c>
      <c r="Q411" s="40" t="s">
        <v>624</v>
      </c>
      <c r="R411" s="40">
        <v>11</v>
      </c>
      <c r="S411" s="40" t="b">
        <v>0</v>
      </c>
      <c r="T411" s="40" t="b">
        <v>1</v>
      </c>
      <c r="U411" s="42">
        <f t="shared" si="6"/>
        <v>13.2</v>
      </c>
      <c r="V411" s="42">
        <v>0</v>
      </c>
      <c r="W411" s="42">
        <v>13.2</v>
      </c>
    </row>
    <row r="412" spans="4:23" x14ac:dyDescent="0.15">
      <c r="D412" s="43" t="s">
        <v>1143</v>
      </c>
      <c r="E412" s="43" t="s">
        <v>1176</v>
      </c>
      <c r="F412" s="43" t="s">
        <v>1177</v>
      </c>
      <c r="G412" s="43">
        <v>24</v>
      </c>
      <c r="H412" s="44">
        <v>40513.478472222218</v>
      </c>
      <c r="I412" s="43">
        <v>0.55000000000000004</v>
      </c>
      <c r="J412" s="43">
        <v>16218</v>
      </c>
      <c r="K412" s="43" t="s">
        <v>71</v>
      </c>
      <c r="L412" s="45">
        <v>13.2</v>
      </c>
      <c r="M412" s="43" t="s">
        <v>721</v>
      </c>
      <c r="N412" s="43">
        <v>2010</v>
      </c>
      <c r="O412" s="43" t="s">
        <v>83</v>
      </c>
      <c r="P412" s="43" t="s">
        <v>126</v>
      </c>
      <c r="Q412" s="43" t="s">
        <v>624</v>
      </c>
      <c r="R412" s="43">
        <v>11</v>
      </c>
      <c r="S412" s="43" t="b">
        <v>0</v>
      </c>
      <c r="T412" s="43" t="b">
        <v>1</v>
      </c>
      <c r="U412" s="45">
        <f t="shared" si="6"/>
        <v>13.2</v>
      </c>
      <c r="V412" s="45">
        <v>0</v>
      </c>
      <c r="W412" s="45">
        <v>13.2</v>
      </c>
    </row>
    <row r="413" spans="4:23" x14ac:dyDescent="0.15">
      <c r="D413" s="40" t="s">
        <v>1143</v>
      </c>
      <c r="E413" s="40" t="s">
        <v>323</v>
      </c>
      <c r="F413" s="40" t="s">
        <v>324</v>
      </c>
      <c r="G413" s="40">
        <v>24</v>
      </c>
      <c r="H413" s="41">
        <v>40513.478472222218</v>
      </c>
      <c r="I413" s="40">
        <v>0.55000000000000004</v>
      </c>
      <c r="J413" s="40">
        <v>16218</v>
      </c>
      <c r="K413" s="40" t="s">
        <v>71</v>
      </c>
      <c r="L413" s="42">
        <v>13.2</v>
      </c>
      <c r="M413" s="40" t="s">
        <v>721</v>
      </c>
      <c r="N413" s="40">
        <v>2010</v>
      </c>
      <c r="O413" s="40" t="s">
        <v>83</v>
      </c>
      <c r="P413" s="40" t="s">
        <v>126</v>
      </c>
      <c r="Q413" s="40" t="s">
        <v>624</v>
      </c>
      <c r="R413" s="40">
        <v>11</v>
      </c>
      <c r="S413" s="40" t="b">
        <v>0</v>
      </c>
      <c r="T413" s="40" t="b">
        <v>1</v>
      </c>
      <c r="U413" s="42">
        <f t="shared" si="6"/>
        <v>13.2</v>
      </c>
      <c r="V413" s="42">
        <v>0</v>
      </c>
      <c r="W413" s="42">
        <v>13.2</v>
      </c>
    </row>
    <row r="414" spans="4:23" x14ac:dyDescent="0.15">
      <c r="D414" s="43" t="s">
        <v>1143</v>
      </c>
      <c r="E414" s="43" t="s">
        <v>1178</v>
      </c>
      <c r="F414" s="43" t="s">
        <v>1179</v>
      </c>
      <c r="G414" s="43">
        <v>24</v>
      </c>
      <c r="H414" s="44">
        <v>40513.478472222218</v>
      </c>
      <c r="I414" s="43">
        <v>0.55000000000000004</v>
      </c>
      <c r="J414" s="43">
        <v>16218</v>
      </c>
      <c r="K414" s="43" t="s">
        <v>71</v>
      </c>
      <c r="L414" s="45">
        <v>13.2</v>
      </c>
      <c r="M414" s="43" t="s">
        <v>721</v>
      </c>
      <c r="N414" s="43">
        <v>2010</v>
      </c>
      <c r="O414" s="43" t="s">
        <v>83</v>
      </c>
      <c r="P414" s="43" t="s">
        <v>126</v>
      </c>
      <c r="Q414" s="43" t="s">
        <v>624</v>
      </c>
      <c r="R414" s="43">
        <v>11</v>
      </c>
      <c r="S414" s="43" t="b">
        <v>0</v>
      </c>
      <c r="T414" s="43" t="b">
        <v>1</v>
      </c>
      <c r="U414" s="45">
        <f t="shared" si="6"/>
        <v>13.2</v>
      </c>
      <c r="V414" s="45">
        <v>0</v>
      </c>
      <c r="W414" s="45">
        <v>13.2</v>
      </c>
    </row>
    <row r="415" spans="4:23" x14ac:dyDescent="0.15">
      <c r="D415" s="40" t="s">
        <v>1143</v>
      </c>
      <c r="E415" s="40" t="s">
        <v>811</v>
      </c>
      <c r="F415" s="40" t="s">
        <v>812</v>
      </c>
      <c r="G415" s="40">
        <v>24</v>
      </c>
      <c r="H415" s="41">
        <v>40513.478472222218</v>
      </c>
      <c r="I415" s="40">
        <v>0.55000000000000004</v>
      </c>
      <c r="J415" s="40">
        <v>16218</v>
      </c>
      <c r="K415" s="40" t="s">
        <v>71</v>
      </c>
      <c r="L415" s="42">
        <v>13.2</v>
      </c>
      <c r="M415" s="40" t="s">
        <v>721</v>
      </c>
      <c r="N415" s="40">
        <v>2010</v>
      </c>
      <c r="O415" s="40" t="s">
        <v>83</v>
      </c>
      <c r="P415" s="40" t="s">
        <v>126</v>
      </c>
      <c r="Q415" s="40" t="s">
        <v>624</v>
      </c>
      <c r="R415" s="40">
        <v>11</v>
      </c>
      <c r="S415" s="40" t="b">
        <v>0</v>
      </c>
      <c r="T415" s="40" t="b">
        <v>1</v>
      </c>
      <c r="U415" s="42">
        <f t="shared" si="6"/>
        <v>13.2</v>
      </c>
      <c r="V415" s="42">
        <v>0</v>
      </c>
      <c r="W415" s="42">
        <v>13.2</v>
      </c>
    </row>
    <row r="416" spans="4:23" x14ac:dyDescent="0.15">
      <c r="D416" s="43" t="s">
        <v>1143</v>
      </c>
      <c r="E416" s="43" t="s">
        <v>347</v>
      </c>
      <c r="F416" s="43" t="s">
        <v>1180</v>
      </c>
      <c r="G416" s="43">
        <v>10</v>
      </c>
      <c r="H416" s="44">
        <v>40513.478472222218</v>
      </c>
      <c r="I416" s="43">
        <v>1.65</v>
      </c>
      <c r="J416" s="43">
        <v>16218</v>
      </c>
      <c r="K416" s="43" t="s">
        <v>71</v>
      </c>
      <c r="L416" s="45">
        <v>16.5</v>
      </c>
      <c r="M416" s="43" t="s">
        <v>721</v>
      </c>
      <c r="N416" s="43">
        <v>2010</v>
      </c>
      <c r="O416" s="43" t="s">
        <v>83</v>
      </c>
      <c r="P416" s="43" t="s">
        <v>126</v>
      </c>
      <c r="Q416" s="43" t="s">
        <v>624</v>
      </c>
      <c r="R416" s="43">
        <v>11</v>
      </c>
      <c r="S416" s="43" t="b">
        <v>0</v>
      </c>
      <c r="T416" s="43" t="b">
        <v>1</v>
      </c>
      <c r="U416" s="45">
        <f t="shared" si="6"/>
        <v>16.5</v>
      </c>
      <c r="V416" s="45">
        <v>0</v>
      </c>
      <c r="W416" s="45">
        <v>16.5</v>
      </c>
    </row>
    <row r="417" spans="4:23" x14ac:dyDescent="0.15">
      <c r="D417" s="40" t="s">
        <v>1143</v>
      </c>
      <c r="E417" s="40" t="s">
        <v>315</v>
      </c>
      <c r="F417" s="40" t="s">
        <v>316</v>
      </c>
      <c r="G417" s="40">
        <v>10</v>
      </c>
      <c r="H417" s="41">
        <v>40513.478472222218</v>
      </c>
      <c r="I417" s="40">
        <v>1.65</v>
      </c>
      <c r="J417" s="40">
        <v>16218</v>
      </c>
      <c r="K417" s="40" t="s">
        <v>71</v>
      </c>
      <c r="L417" s="42">
        <v>16.5</v>
      </c>
      <c r="M417" s="40" t="s">
        <v>721</v>
      </c>
      <c r="N417" s="40">
        <v>2010</v>
      </c>
      <c r="O417" s="40" t="s">
        <v>83</v>
      </c>
      <c r="P417" s="40" t="s">
        <v>126</v>
      </c>
      <c r="Q417" s="40" t="s">
        <v>624</v>
      </c>
      <c r="R417" s="40">
        <v>11</v>
      </c>
      <c r="S417" s="40" t="b">
        <v>0</v>
      </c>
      <c r="T417" s="40" t="b">
        <v>1</v>
      </c>
      <c r="U417" s="42">
        <f t="shared" si="6"/>
        <v>16.5</v>
      </c>
      <c r="V417" s="42">
        <v>0</v>
      </c>
      <c r="W417" s="42">
        <v>16.5</v>
      </c>
    </row>
    <row r="418" spans="4:23" x14ac:dyDescent="0.15">
      <c r="D418" s="43" t="s">
        <v>1143</v>
      </c>
      <c r="E418" s="43" t="s">
        <v>301</v>
      </c>
      <c r="F418" s="43" t="s">
        <v>302</v>
      </c>
      <c r="G418" s="43">
        <v>10</v>
      </c>
      <c r="H418" s="44">
        <v>40513.478472222218</v>
      </c>
      <c r="I418" s="43">
        <v>1.65</v>
      </c>
      <c r="J418" s="43">
        <v>16218</v>
      </c>
      <c r="K418" s="43" t="s">
        <v>71</v>
      </c>
      <c r="L418" s="45">
        <v>16.5</v>
      </c>
      <c r="M418" s="43" t="s">
        <v>721</v>
      </c>
      <c r="N418" s="43">
        <v>2010</v>
      </c>
      <c r="O418" s="43" t="s">
        <v>83</v>
      </c>
      <c r="P418" s="43" t="s">
        <v>126</v>
      </c>
      <c r="Q418" s="43" t="s">
        <v>624</v>
      </c>
      <c r="R418" s="43">
        <v>11</v>
      </c>
      <c r="S418" s="43" t="b">
        <v>0</v>
      </c>
      <c r="T418" s="43" t="b">
        <v>1</v>
      </c>
      <c r="U418" s="45">
        <f t="shared" si="6"/>
        <v>16.5</v>
      </c>
      <c r="V418" s="45">
        <v>0</v>
      </c>
      <c r="W418" s="45">
        <v>16.5</v>
      </c>
    </row>
    <row r="419" spans="4:23" x14ac:dyDescent="0.15">
      <c r="D419" s="40" t="s">
        <v>1143</v>
      </c>
      <c r="E419" s="40" t="s">
        <v>1181</v>
      </c>
      <c r="F419" s="40" t="s">
        <v>1182</v>
      </c>
      <c r="G419" s="40">
        <v>24</v>
      </c>
      <c r="H419" s="41">
        <v>40513.478472222218</v>
      </c>
      <c r="I419" s="40">
        <v>1.65</v>
      </c>
      <c r="J419" s="40">
        <v>16218</v>
      </c>
      <c r="K419" s="40" t="s">
        <v>71</v>
      </c>
      <c r="L419" s="42">
        <v>39.599999999999987</v>
      </c>
      <c r="M419" s="40" t="s">
        <v>721</v>
      </c>
      <c r="N419" s="40">
        <v>2010</v>
      </c>
      <c r="O419" s="40" t="s">
        <v>83</v>
      </c>
      <c r="P419" s="40" t="s">
        <v>126</v>
      </c>
      <c r="Q419" s="40" t="s">
        <v>624</v>
      </c>
      <c r="R419" s="40">
        <v>11</v>
      </c>
      <c r="S419" s="40" t="b">
        <v>0</v>
      </c>
      <c r="T419" s="40" t="b">
        <v>1</v>
      </c>
      <c r="U419" s="42">
        <f t="shared" si="6"/>
        <v>39.599999999999987</v>
      </c>
      <c r="V419" s="42">
        <v>0</v>
      </c>
      <c r="W419" s="42">
        <v>39.599999999999987</v>
      </c>
    </row>
    <row r="420" spans="4:23" x14ac:dyDescent="0.15">
      <c r="D420" s="43" t="s">
        <v>1183</v>
      </c>
      <c r="E420" s="43" t="s">
        <v>365</v>
      </c>
      <c r="F420" s="43" t="s">
        <v>366</v>
      </c>
      <c r="G420" s="43">
        <v>128</v>
      </c>
      <c r="H420" s="44">
        <v>40513.480555555558</v>
      </c>
      <c r="I420" s="43">
        <v>2.5499999999999998</v>
      </c>
      <c r="J420" s="43">
        <v>14045</v>
      </c>
      <c r="K420" s="43" t="s">
        <v>71</v>
      </c>
      <c r="L420" s="45">
        <v>326.39999999999998</v>
      </c>
      <c r="M420" s="43" t="s">
        <v>721</v>
      </c>
      <c r="N420" s="43">
        <v>2010</v>
      </c>
      <c r="O420" s="43" t="s">
        <v>83</v>
      </c>
      <c r="P420" s="43" t="s">
        <v>126</v>
      </c>
      <c r="Q420" s="43" t="s">
        <v>624</v>
      </c>
      <c r="R420" s="43">
        <v>11</v>
      </c>
      <c r="S420" s="43" t="b">
        <v>0</v>
      </c>
      <c r="T420" s="43" t="b">
        <v>1</v>
      </c>
      <c r="U420" s="45">
        <f t="shared" si="6"/>
        <v>326.39999999999998</v>
      </c>
      <c r="V420" s="45">
        <v>0</v>
      </c>
      <c r="W420" s="45">
        <v>326.39999999999998</v>
      </c>
    </row>
    <row r="421" spans="4:23" x14ac:dyDescent="0.15">
      <c r="D421" s="40" t="s">
        <v>1184</v>
      </c>
      <c r="E421" s="40" t="s">
        <v>168</v>
      </c>
      <c r="F421" s="40" t="s">
        <v>102</v>
      </c>
      <c r="G421" s="40">
        <v>8</v>
      </c>
      <c r="H421" s="41">
        <v>40513.481249999997</v>
      </c>
      <c r="I421" s="40">
        <v>2.5499999999999998</v>
      </c>
      <c r="J421" s="40">
        <v>17850</v>
      </c>
      <c r="K421" s="40" t="s">
        <v>71</v>
      </c>
      <c r="L421" s="42">
        <v>20.399999999999999</v>
      </c>
      <c r="M421" s="40" t="s">
        <v>721</v>
      </c>
      <c r="N421" s="40">
        <v>2010</v>
      </c>
      <c r="O421" s="40" t="s">
        <v>83</v>
      </c>
      <c r="P421" s="40" t="s">
        <v>126</v>
      </c>
      <c r="Q421" s="40" t="s">
        <v>624</v>
      </c>
      <c r="R421" s="40">
        <v>11</v>
      </c>
      <c r="S421" s="40" t="b">
        <v>0</v>
      </c>
      <c r="T421" s="40" t="b">
        <v>1</v>
      </c>
      <c r="U421" s="42">
        <f t="shared" si="6"/>
        <v>20.399999999999999</v>
      </c>
      <c r="V421" s="42">
        <v>0</v>
      </c>
      <c r="W421" s="42">
        <v>20.399999999999999</v>
      </c>
    </row>
    <row r="422" spans="4:23" x14ac:dyDescent="0.15">
      <c r="D422" s="43" t="s">
        <v>1184</v>
      </c>
      <c r="E422" s="43" t="s">
        <v>722</v>
      </c>
      <c r="F422" s="43" t="s">
        <v>723</v>
      </c>
      <c r="G422" s="43">
        <v>8</v>
      </c>
      <c r="H422" s="44">
        <v>40513.481249999997</v>
      </c>
      <c r="I422" s="43">
        <v>3.39</v>
      </c>
      <c r="J422" s="43">
        <v>17850</v>
      </c>
      <c r="K422" s="43" t="s">
        <v>71</v>
      </c>
      <c r="L422" s="45">
        <v>27.12</v>
      </c>
      <c r="M422" s="43" t="s">
        <v>721</v>
      </c>
      <c r="N422" s="43">
        <v>2010</v>
      </c>
      <c r="O422" s="43" t="s">
        <v>83</v>
      </c>
      <c r="P422" s="43" t="s">
        <v>126</v>
      </c>
      <c r="Q422" s="43" t="s">
        <v>624</v>
      </c>
      <c r="R422" s="43">
        <v>11</v>
      </c>
      <c r="S422" s="43" t="b">
        <v>0</v>
      </c>
      <c r="T422" s="43" t="b">
        <v>1</v>
      </c>
      <c r="U422" s="45">
        <f t="shared" si="6"/>
        <v>27.12</v>
      </c>
      <c r="V422" s="45">
        <v>0</v>
      </c>
      <c r="W422" s="45">
        <v>27.12</v>
      </c>
    </row>
    <row r="423" spans="4:23" x14ac:dyDescent="0.15">
      <c r="D423" s="40" t="s">
        <v>1184</v>
      </c>
      <c r="E423" s="40" t="s">
        <v>724</v>
      </c>
      <c r="F423" s="40" t="s">
        <v>725</v>
      </c>
      <c r="G423" s="40">
        <v>8</v>
      </c>
      <c r="H423" s="41">
        <v>40513.481249999997</v>
      </c>
      <c r="I423" s="40">
        <v>2.75</v>
      </c>
      <c r="J423" s="40">
        <v>17850</v>
      </c>
      <c r="K423" s="40" t="s">
        <v>71</v>
      </c>
      <c r="L423" s="42">
        <v>22</v>
      </c>
      <c r="M423" s="40" t="s">
        <v>721</v>
      </c>
      <c r="N423" s="40">
        <v>2010</v>
      </c>
      <c r="O423" s="40" t="s">
        <v>83</v>
      </c>
      <c r="P423" s="40" t="s">
        <v>126</v>
      </c>
      <c r="Q423" s="40" t="s">
        <v>624</v>
      </c>
      <c r="R423" s="40">
        <v>11</v>
      </c>
      <c r="S423" s="40" t="b">
        <v>0</v>
      </c>
      <c r="T423" s="40" t="b">
        <v>1</v>
      </c>
      <c r="U423" s="42">
        <f t="shared" si="6"/>
        <v>22</v>
      </c>
      <c r="V423" s="42">
        <v>0</v>
      </c>
      <c r="W423" s="42">
        <v>22</v>
      </c>
    </row>
    <row r="424" spans="4:23" x14ac:dyDescent="0.15">
      <c r="D424" s="43" t="s">
        <v>1184</v>
      </c>
      <c r="E424" s="43" t="s">
        <v>782</v>
      </c>
      <c r="F424" s="43" t="s">
        <v>783</v>
      </c>
      <c r="G424" s="43">
        <v>6</v>
      </c>
      <c r="H424" s="44">
        <v>40513.481249999997</v>
      </c>
      <c r="I424" s="43">
        <v>4.95</v>
      </c>
      <c r="J424" s="43">
        <v>17850</v>
      </c>
      <c r="K424" s="43" t="s">
        <v>71</v>
      </c>
      <c r="L424" s="45">
        <v>29.7</v>
      </c>
      <c r="M424" s="43" t="s">
        <v>721</v>
      </c>
      <c r="N424" s="43">
        <v>2010</v>
      </c>
      <c r="O424" s="43" t="s">
        <v>83</v>
      </c>
      <c r="P424" s="43" t="s">
        <v>126</v>
      </c>
      <c r="Q424" s="43" t="s">
        <v>624</v>
      </c>
      <c r="R424" s="43">
        <v>11</v>
      </c>
      <c r="S424" s="43" t="b">
        <v>0</v>
      </c>
      <c r="T424" s="43" t="b">
        <v>1</v>
      </c>
      <c r="U424" s="45">
        <f t="shared" si="6"/>
        <v>29.7</v>
      </c>
      <c r="V424" s="45">
        <v>0</v>
      </c>
      <c r="W424" s="45">
        <v>29.7</v>
      </c>
    </row>
    <row r="425" spans="4:23" x14ac:dyDescent="0.15">
      <c r="D425" s="40" t="s">
        <v>1184</v>
      </c>
      <c r="E425" s="40" t="s">
        <v>784</v>
      </c>
      <c r="F425" s="40" t="s">
        <v>785</v>
      </c>
      <c r="G425" s="40">
        <v>6</v>
      </c>
      <c r="H425" s="41">
        <v>40513.481249999997</v>
      </c>
      <c r="I425" s="40">
        <v>1.06</v>
      </c>
      <c r="J425" s="40">
        <v>17850</v>
      </c>
      <c r="K425" s="40" t="s">
        <v>71</v>
      </c>
      <c r="L425" s="42">
        <v>6.36</v>
      </c>
      <c r="M425" s="40" t="s">
        <v>721</v>
      </c>
      <c r="N425" s="40">
        <v>2010</v>
      </c>
      <c r="O425" s="40" t="s">
        <v>83</v>
      </c>
      <c r="P425" s="40" t="s">
        <v>126</v>
      </c>
      <c r="Q425" s="40" t="s">
        <v>624</v>
      </c>
      <c r="R425" s="40">
        <v>11</v>
      </c>
      <c r="S425" s="40" t="b">
        <v>0</v>
      </c>
      <c r="T425" s="40" t="b">
        <v>1</v>
      </c>
      <c r="U425" s="42">
        <f t="shared" si="6"/>
        <v>6.36</v>
      </c>
      <c r="V425" s="42">
        <v>0</v>
      </c>
      <c r="W425" s="42">
        <v>6.36</v>
      </c>
    </row>
    <row r="426" spans="4:23" x14ac:dyDescent="0.15">
      <c r="D426" s="43" t="s">
        <v>1184</v>
      </c>
      <c r="E426" s="43" t="s">
        <v>786</v>
      </c>
      <c r="F426" s="43" t="s">
        <v>787</v>
      </c>
      <c r="G426" s="43">
        <v>6</v>
      </c>
      <c r="H426" s="44">
        <v>40513.481249999997</v>
      </c>
      <c r="I426" s="43">
        <v>1.06</v>
      </c>
      <c r="J426" s="43">
        <v>17850</v>
      </c>
      <c r="K426" s="43" t="s">
        <v>71</v>
      </c>
      <c r="L426" s="45">
        <v>6.36</v>
      </c>
      <c r="M426" s="43" t="s">
        <v>721</v>
      </c>
      <c r="N426" s="43">
        <v>2010</v>
      </c>
      <c r="O426" s="43" t="s">
        <v>83</v>
      </c>
      <c r="P426" s="43" t="s">
        <v>126</v>
      </c>
      <c r="Q426" s="43" t="s">
        <v>624</v>
      </c>
      <c r="R426" s="43">
        <v>11</v>
      </c>
      <c r="S426" s="43" t="b">
        <v>0</v>
      </c>
      <c r="T426" s="43" t="b">
        <v>1</v>
      </c>
      <c r="U426" s="45">
        <f t="shared" si="6"/>
        <v>6.36</v>
      </c>
      <c r="V426" s="45">
        <v>0</v>
      </c>
      <c r="W426" s="45">
        <v>6.36</v>
      </c>
    </row>
    <row r="427" spans="4:23" x14ac:dyDescent="0.15">
      <c r="D427" s="40" t="s">
        <v>1184</v>
      </c>
      <c r="E427" s="40" t="s">
        <v>788</v>
      </c>
      <c r="F427" s="40" t="s">
        <v>789</v>
      </c>
      <c r="G427" s="40">
        <v>6</v>
      </c>
      <c r="H427" s="41">
        <v>40513.481249999997</v>
      </c>
      <c r="I427" s="40">
        <v>1.06</v>
      </c>
      <c r="J427" s="40">
        <v>17850</v>
      </c>
      <c r="K427" s="40" t="s">
        <v>71</v>
      </c>
      <c r="L427" s="42">
        <v>6.36</v>
      </c>
      <c r="M427" s="40" t="s">
        <v>721</v>
      </c>
      <c r="N427" s="40">
        <v>2010</v>
      </c>
      <c r="O427" s="40" t="s">
        <v>83</v>
      </c>
      <c r="P427" s="40" t="s">
        <v>126</v>
      </c>
      <c r="Q427" s="40" t="s">
        <v>624</v>
      </c>
      <c r="R427" s="40">
        <v>11</v>
      </c>
      <c r="S427" s="40" t="b">
        <v>0</v>
      </c>
      <c r="T427" s="40" t="b">
        <v>1</v>
      </c>
      <c r="U427" s="42">
        <f t="shared" si="6"/>
        <v>6.36</v>
      </c>
      <c r="V427" s="42">
        <v>0</v>
      </c>
      <c r="W427" s="42">
        <v>6.36</v>
      </c>
    </row>
    <row r="428" spans="4:23" x14ac:dyDescent="0.15">
      <c r="D428" s="43" t="s">
        <v>1184</v>
      </c>
      <c r="E428" s="43" t="s">
        <v>790</v>
      </c>
      <c r="F428" s="43" t="s">
        <v>791</v>
      </c>
      <c r="G428" s="43">
        <v>6</v>
      </c>
      <c r="H428" s="44">
        <v>40513.481249999997</v>
      </c>
      <c r="I428" s="43">
        <v>1.06</v>
      </c>
      <c r="J428" s="43">
        <v>17850</v>
      </c>
      <c r="K428" s="43" t="s">
        <v>71</v>
      </c>
      <c r="L428" s="45">
        <v>6.36</v>
      </c>
      <c r="M428" s="43" t="s">
        <v>721</v>
      </c>
      <c r="N428" s="43">
        <v>2010</v>
      </c>
      <c r="O428" s="43" t="s">
        <v>83</v>
      </c>
      <c r="P428" s="43" t="s">
        <v>126</v>
      </c>
      <c r="Q428" s="43" t="s">
        <v>624</v>
      </c>
      <c r="R428" s="43">
        <v>11</v>
      </c>
      <c r="S428" s="43" t="b">
        <v>0</v>
      </c>
      <c r="T428" s="43" t="b">
        <v>1</v>
      </c>
      <c r="U428" s="45">
        <f t="shared" si="6"/>
        <v>6.36</v>
      </c>
      <c r="V428" s="45">
        <v>0</v>
      </c>
      <c r="W428" s="45">
        <v>6.36</v>
      </c>
    </row>
    <row r="429" spans="4:23" x14ac:dyDescent="0.15">
      <c r="D429" s="40" t="s">
        <v>1184</v>
      </c>
      <c r="E429" s="40" t="s">
        <v>409</v>
      </c>
      <c r="F429" s="40" t="s">
        <v>410</v>
      </c>
      <c r="G429" s="40">
        <v>4</v>
      </c>
      <c r="H429" s="41">
        <v>40513.481249999997</v>
      </c>
      <c r="I429" s="40">
        <v>4.95</v>
      </c>
      <c r="J429" s="40">
        <v>17850</v>
      </c>
      <c r="K429" s="40" t="s">
        <v>71</v>
      </c>
      <c r="L429" s="42">
        <v>19.8</v>
      </c>
      <c r="M429" s="40" t="s">
        <v>721</v>
      </c>
      <c r="N429" s="40">
        <v>2010</v>
      </c>
      <c r="O429" s="40" t="s">
        <v>83</v>
      </c>
      <c r="P429" s="40" t="s">
        <v>126</v>
      </c>
      <c r="Q429" s="40" t="s">
        <v>624</v>
      </c>
      <c r="R429" s="40">
        <v>11</v>
      </c>
      <c r="S429" s="40" t="b">
        <v>0</v>
      </c>
      <c r="T429" s="40" t="b">
        <v>1</v>
      </c>
      <c r="U429" s="42">
        <f t="shared" si="6"/>
        <v>19.8</v>
      </c>
      <c r="V429" s="42">
        <v>0</v>
      </c>
      <c r="W429" s="42">
        <v>19.8</v>
      </c>
    </row>
    <row r="430" spans="4:23" x14ac:dyDescent="0.15">
      <c r="D430" s="43" t="s">
        <v>1184</v>
      </c>
      <c r="E430" s="43" t="s">
        <v>511</v>
      </c>
      <c r="F430" s="43" t="s">
        <v>512</v>
      </c>
      <c r="G430" s="43">
        <v>4</v>
      </c>
      <c r="H430" s="44">
        <v>40513.481249999997</v>
      </c>
      <c r="I430" s="43">
        <v>6.95</v>
      </c>
      <c r="J430" s="43">
        <v>17850</v>
      </c>
      <c r="K430" s="43" t="s">
        <v>71</v>
      </c>
      <c r="L430" s="45">
        <v>27.8</v>
      </c>
      <c r="M430" s="43" t="s">
        <v>721</v>
      </c>
      <c r="N430" s="43">
        <v>2010</v>
      </c>
      <c r="O430" s="43" t="s">
        <v>83</v>
      </c>
      <c r="P430" s="43" t="s">
        <v>126</v>
      </c>
      <c r="Q430" s="43" t="s">
        <v>624</v>
      </c>
      <c r="R430" s="43">
        <v>11</v>
      </c>
      <c r="S430" s="43" t="b">
        <v>0</v>
      </c>
      <c r="T430" s="43" t="b">
        <v>1</v>
      </c>
      <c r="U430" s="45">
        <f t="shared" si="6"/>
        <v>27.8</v>
      </c>
      <c r="V430" s="45">
        <v>0</v>
      </c>
      <c r="W430" s="45">
        <v>27.8</v>
      </c>
    </row>
    <row r="431" spans="4:23" x14ac:dyDescent="0.15">
      <c r="D431" s="40" t="s">
        <v>1184</v>
      </c>
      <c r="E431" s="40" t="s">
        <v>287</v>
      </c>
      <c r="F431" s="40" t="s">
        <v>288</v>
      </c>
      <c r="G431" s="40">
        <v>6</v>
      </c>
      <c r="H431" s="41">
        <v>40513.481249999997</v>
      </c>
      <c r="I431" s="40">
        <v>2.1</v>
      </c>
      <c r="J431" s="40">
        <v>17850</v>
      </c>
      <c r="K431" s="40" t="s">
        <v>71</v>
      </c>
      <c r="L431" s="42">
        <v>12.6</v>
      </c>
      <c r="M431" s="40" t="s">
        <v>721</v>
      </c>
      <c r="N431" s="40">
        <v>2010</v>
      </c>
      <c r="O431" s="40" t="s">
        <v>83</v>
      </c>
      <c r="P431" s="40" t="s">
        <v>126</v>
      </c>
      <c r="Q431" s="40" t="s">
        <v>624</v>
      </c>
      <c r="R431" s="40">
        <v>11</v>
      </c>
      <c r="S431" s="40" t="b">
        <v>0</v>
      </c>
      <c r="T431" s="40" t="b">
        <v>1</v>
      </c>
      <c r="U431" s="42">
        <f t="shared" si="6"/>
        <v>12.6</v>
      </c>
      <c r="V431" s="42">
        <v>0</v>
      </c>
      <c r="W431" s="42">
        <v>12.6</v>
      </c>
    </row>
    <row r="432" spans="4:23" x14ac:dyDescent="0.15">
      <c r="D432" s="43" t="s">
        <v>1184</v>
      </c>
      <c r="E432" s="43" t="s">
        <v>335</v>
      </c>
      <c r="F432" s="43" t="s">
        <v>336</v>
      </c>
      <c r="G432" s="43">
        <v>6</v>
      </c>
      <c r="H432" s="44">
        <v>40513.481249999997</v>
      </c>
      <c r="I432" s="43">
        <v>2.5499999999999998</v>
      </c>
      <c r="J432" s="43">
        <v>17850</v>
      </c>
      <c r="K432" s="43" t="s">
        <v>71</v>
      </c>
      <c r="L432" s="45">
        <v>15.3</v>
      </c>
      <c r="M432" s="43" t="s">
        <v>721</v>
      </c>
      <c r="N432" s="43">
        <v>2010</v>
      </c>
      <c r="O432" s="43" t="s">
        <v>83</v>
      </c>
      <c r="P432" s="43" t="s">
        <v>126</v>
      </c>
      <c r="Q432" s="43" t="s">
        <v>624</v>
      </c>
      <c r="R432" s="43">
        <v>11</v>
      </c>
      <c r="S432" s="43" t="b">
        <v>0</v>
      </c>
      <c r="T432" s="43" t="b">
        <v>1</v>
      </c>
      <c r="U432" s="45">
        <f t="shared" si="6"/>
        <v>15.3</v>
      </c>
      <c r="V432" s="45">
        <v>0</v>
      </c>
      <c r="W432" s="45">
        <v>15.3</v>
      </c>
    </row>
    <row r="433" spans="4:23" x14ac:dyDescent="0.15">
      <c r="D433" s="40" t="s">
        <v>1184</v>
      </c>
      <c r="E433" s="40" t="s">
        <v>399</v>
      </c>
      <c r="F433" s="40" t="s">
        <v>400</v>
      </c>
      <c r="G433" s="40">
        <v>6</v>
      </c>
      <c r="H433" s="41">
        <v>40513.481249999997</v>
      </c>
      <c r="I433" s="40">
        <v>3.39</v>
      </c>
      <c r="J433" s="40">
        <v>17850</v>
      </c>
      <c r="K433" s="40" t="s">
        <v>71</v>
      </c>
      <c r="L433" s="42">
        <v>20.34</v>
      </c>
      <c r="M433" s="40" t="s">
        <v>721</v>
      </c>
      <c r="N433" s="40">
        <v>2010</v>
      </c>
      <c r="O433" s="40" t="s">
        <v>83</v>
      </c>
      <c r="P433" s="40" t="s">
        <v>126</v>
      </c>
      <c r="Q433" s="40" t="s">
        <v>624</v>
      </c>
      <c r="R433" s="40">
        <v>11</v>
      </c>
      <c r="S433" s="40" t="b">
        <v>0</v>
      </c>
      <c r="T433" s="40" t="b">
        <v>1</v>
      </c>
      <c r="U433" s="42">
        <f t="shared" si="6"/>
        <v>20.34</v>
      </c>
      <c r="V433" s="42">
        <v>0</v>
      </c>
      <c r="W433" s="42">
        <v>20.34</v>
      </c>
    </row>
    <row r="434" spans="4:23" x14ac:dyDescent="0.15">
      <c r="D434" s="43" t="s">
        <v>1184</v>
      </c>
      <c r="E434" s="43" t="s">
        <v>305</v>
      </c>
      <c r="F434" s="43" t="s">
        <v>306</v>
      </c>
      <c r="G434" s="43">
        <v>6</v>
      </c>
      <c r="H434" s="44">
        <v>40513.481249999997</v>
      </c>
      <c r="I434" s="43">
        <v>3.39</v>
      </c>
      <c r="J434" s="43">
        <v>17850</v>
      </c>
      <c r="K434" s="43" t="s">
        <v>71</v>
      </c>
      <c r="L434" s="45">
        <v>20.34</v>
      </c>
      <c r="M434" s="43" t="s">
        <v>721</v>
      </c>
      <c r="N434" s="43">
        <v>2010</v>
      </c>
      <c r="O434" s="43" t="s">
        <v>83</v>
      </c>
      <c r="P434" s="43" t="s">
        <v>126</v>
      </c>
      <c r="Q434" s="43" t="s">
        <v>624</v>
      </c>
      <c r="R434" s="43">
        <v>11</v>
      </c>
      <c r="S434" s="43" t="b">
        <v>0</v>
      </c>
      <c r="T434" s="43" t="b">
        <v>1</v>
      </c>
      <c r="U434" s="45">
        <f t="shared" si="6"/>
        <v>20.34</v>
      </c>
      <c r="V434" s="45">
        <v>0</v>
      </c>
      <c r="W434" s="45">
        <v>20.34</v>
      </c>
    </row>
    <row r="435" spans="4:23" x14ac:dyDescent="0.15">
      <c r="D435" s="40" t="s">
        <v>1184</v>
      </c>
      <c r="E435" s="40" t="s">
        <v>417</v>
      </c>
      <c r="F435" s="40" t="s">
        <v>418</v>
      </c>
      <c r="G435" s="40">
        <v>2</v>
      </c>
      <c r="H435" s="41">
        <v>40513.481249999997</v>
      </c>
      <c r="I435" s="40">
        <v>7.65</v>
      </c>
      <c r="J435" s="40">
        <v>17850</v>
      </c>
      <c r="K435" s="40" t="s">
        <v>71</v>
      </c>
      <c r="L435" s="42">
        <v>15.3</v>
      </c>
      <c r="M435" s="40" t="s">
        <v>721</v>
      </c>
      <c r="N435" s="40">
        <v>2010</v>
      </c>
      <c r="O435" s="40" t="s">
        <v>83</v>
      </c>
      <c r="P435" s="40" t="s">
        <v>126</v>
      </c>
      <c r="Q435" s="40" t="s">
        <v>624</v>
      </c>
      <c r="R435" s="40">
        <v>11</v>
      </c>
      <c r="S435" s="40" t="b">
        <v>0</v>
      </c>
      <c r="T435" s="40" t="b">
        <v>1</v>
      </c>
      <c r="U435" s="42">
        <f t="shared" si="6"/>
        <v>15.3</v>
      </c>
      <c r="V435" s="42">
        <v>0</v>
      </c>
      <c r="W435" s="42">
        <v>15.3</v>
      </c>
    </row>
    <row r="436" spans="4:23" x14ac:dyDescent="0.15">
      <c r="D436" s="43" t="s">
        <v>1184</v>
      </c>
      <c r="E436" s="43" t="s">
        <v>1028</v>
      </c>
      <c r="F436" s="43" t="s">
        <v>1029</v>
      </c>
      <c r="G436" s="43">
        <v>2</v>
      </c>
      <c r="H436" s="44">
        <v>40513.481249999997</v>
      </c>
      <c r="I436" s="43">
        <v>35.75</v>
      </c>
      <c r="J436" s="43">
        <v>17850</v>
      </c>
      <c r="K436" s="43" t="s">
        <v>71</v>
      </c>
      <c r="L436" s="45">
        <v>71.5</v>
      </c>
      <c r="M436" s="43" t="s">
        <v>721</v>
      </c>
      <c r="N436" s="43">
        <v>2010</v>
      </c>
      <c r="O436" s="43" t="s">
        <v>83</v>
      </c>
      <c r="P436" s="43" t="s">
        <v>126</v>
      </c>
      <c r="Q436" s="43" t="s">
        <v>624</v>
      </c>
      <c r="R436" s="43">
        <v>11</v>
      </c>
      <c r="S436" s="43" t="b">
        <v>0</v>
      </c>
      <c r="T436" s="43" t="b">
        <v>1</v>
      </c>
      <c r="U436" s="45">
        <f t="shared" si="6"/>
        <v>71.5</v>
      </c>
      <c r="V436" s="45">
        <v>0</v>
      </c>
      <c r="W436" s="45">
        <v>71.5</v>
      </c>
    </row>
    <row r="437" spans="4:23" x14ac:dyDescent="0.15">
      <c r="D437" s="40" t="s">
        <v>1184</v>
      </c>
      <c r="E437" s="40" t="s">
        <v>726</v>
      </c>
      <c r="F437" s="40" t="s">
        <v>727</v>
      </c>
      <c r="G437" s="40">
        <v>6</v>
      </c>
      <c r="H437" s="41">
        <v>40513.481249999997</v>
      </c>
      <c r="I437" s="40">
        <v>4.25</v>
      </c>
      <c r="J437" s="40">
        <v>17850</v>
      </c>
      <c r="K437" s="40" t="s">
        <v>71</v>
      </c>
      <c r="L437" s="42">
        <v>25.5</v>
      </c>
      <c r="M437" s="40" t="s">
        <v>721</v>
      </c>
      <c r="N437" s="40">
        <v>2010</v>
      </c>
      <c r="O437" s="40" t="s">
        <v>83</v>
      </c>
      <c r="P437" s="40" t="s">
        <v>126</v>
      </c>
      <c r="Q437" s="40" t="s">
        <v>624</v>
      </c>
      <c r="R437" s="40">
        <v>11</v>
      </c>
      <c r="S437" s="40" t="b">
        <v>0</v>
      </c>
      <c r="T437" s="40" t="b">
        <v>1</v>
      </c>
      <c r="U437" s="42">
        <f t="shared" si="6"/>
        <v>25.5</v>
      </c>
      <c r="V437" s="42">
        <v>0</v>
      </c>
      <c r="W437" s="42">
        <v>25.5</v>
      </c>
    </row>
    <row r="438" spans="4:23" x14ac:dyDescent="0.15">
      <c r="D438" s="43" t="s">
        <v>1185</v>
      </c>
      <c r="E438" s="43" t="s">
        <v>731</v>
      </c>
      <c r="F438" s="43" t="s">
        <v>732</v>
      </c>
      <c r="G438" s="43">
        <v>6</v>
      </c>
      <c r="H438" s="44">
        <v>40513.481944444437</v>
      </c>
      <c r="I438" s="43">
        <v>1.85</v>
      </c>
      <c r="J438" s="43">
        <v>17850</v>
      </c>
      <c r="K438" s="43" t="s">
        <v>71</v>
      </c>
      <c r="L438" s="45">
        <v>11.1</v>
      </c>
      <c r="M438" s="43" t="s">
        <v>721</v>
      </c>
      <c r="N438" s="43">
        <v>2010</v>
      </c>
      <c r="O438" s="43" t="s">
        <v>83</v>
      </c>
      <c r="P438" s="43" t="s">
        <v>126</v>
      </c>
      <c r="Q438" s="43" t="s">
        <v>624</v>
      </c>
      <c r="R438" s="43">
        <v>11</v>
      </c>
      <c r="S438" s="43" t="b">
        <v>0</v>
      </c>
      <c r="T438" s="43" t="b">
        <v>1</v>
      </c>
      <c r="U438" s="45">
        <f t="shared" si="6"/>
        <v>11.1</v>
      </c>
      <c r="V438" s="45">
        <v>0</v>
      </c>
      <c r="W438" s="45">
        <v>11.1</v>
      </c>
    </row>
    <row r="439" spans="4:23" x14ac:dyDescent="0.15">
      <c r="D439" s="40" t="s">
        <v>1185</v>
      </c>
      <c r="E439" s="40" t="s">
        <v>729</v>
      </c>
      <c r="F439" s="40" t="s">
        <v>730</v>
      </c>
      <c r="G439" s="40">
        <v>6</v>
      </c>
      <c r="H439" s="41">
        <v>40513.481944444437</v>
      </c>
      <c r="I439" s="40">
        <v>1.85</v>
      </c>
      <c r="J439" s="40">
        <v>17850</v>
      </c>
      <c r="K439" s="40" t="s">
        <v>71</v>
      </c>
      <c r="L439" s="42">
        <v>11.1</v>
      </c>
      <c r="M439" s="40" t="s">
        <v>721</v>
      </c>
      <c r="N439" s="40">
        <v>2010</v>
      </c>
      <c r="O439" s="40" t="s">
        <v>83</v>
      </c>
      <c r="P439" s="40" t="s">
        <v>126</v>
      </c>
      <c r="Q439" s="40" t="s">
        <v>624</v>
      </c>
      <c r="R439" s="40">
        <v>11</v>
      </c>
      <c r="S439" s="40" t="b">
        <v>0</v>
      </c>
      <c r="T439" s="40" t="b">
        <v>1</v>
      </c>
      <c r="U439" s="42">
        <f t="shared" si="6"/>
        <v>11.1</v>
      </c>
      <c r="V439" s="42">
        <v>0</v>
      </c>
      <c r="W439" s="42">
        <v>11.1</v>
      </c>
    </row>
    <row r="440" spans="4:23" x14ac:dyDescent="0.15">
      <c r="D440" s="43" t="s">
        <v>1186</v>
      </c>
      <c r="E440" s="43" t="s">
        <v>1187</v>
      </c>
      <c r="F440" s="43" t="s">
        <v>1188</v>
      </c>
      <c r="G440" s="43">
        <v>24</v>
      </c>
      <c r="H440" s="44">
        <v>40513.486805555563</v>
      </c>
      <c r="I440" s="43">
        <v>0.42</v>
      </c>
      <c r="J440" s="43">
        <v>14307</v>
      </c>
      <c r="K440" s="43" t="s">
        <v>71</v>
      </c>
      <c r="L440" s="45">
        <v>10.08</v>
      </c>
      <c r="M440" s="43" t="s">
        <v>721</v>
      </c>
      <c r="N440" s="43">
        <v>2010</v>
      </c>
      <c r="O440" s="43" t="s">
        <v>83</v>
      </c>
      <c r="P440" s="43" t="s">
        <v>126</v>
      </c>
      <c r="Q440" s="43" t="s">
        <v>624</v>
      </c>
      <c r="R440" s="43">
        <v>11</v>
      </c>
      <c r="S440" s="43" t="b">
        <v>0</v>
      </c>
      <c r="T440" s="43" t="b">
        <v>1</v>
      </c>
      <c r="U440" s="45">
        <f t="shared" si="6"/>
        <v>10.08</v>
      </c>
      <c r="V440" s="45">
        <v>0</v>
      </c>
      <c r="W440" s="45">
        <v>10.08</v>
      </c>
    </row>
    <row r="441" spans="4:23" x14ac:dyDescent="0.15">
      <c r="D441" s="40" t="s">
        <v>1186</v>
      </c>
      <c r="E441" s="40" t="s">
        <v>1189</v>
      </c>
      <c r="F441" s="40" t="s">
        <v>1190</v>
      </c>
      <c r="G441" s="40">
        <v>24</v>
      </c>
      <c r="H441" s="41">
        <v>40513.486805555563</v>
      </c>
      <c r="I441" s="40">
        <v>0.42</v>
      </c>
      <c r="J441" s="40">
        <v>14307</v>
      </c>
      <c r="K441" s="40" t="s">
        <v>71</v>
      </c>
      <c r="L441" s="42">
        <v>10.08</v>
      </c>
      <c r="M441" s="40" t="s">
        <v>721</v>
      </c>
      <c r="N441" s="40">
        <v>2010</v>
      </c>
      <c r="O441" s="40" t="s">
        <v>83</v>
      </c>
      <c r="P441" s="40" t="s">
        <v>126</v>
      </c>
      <c r="Q441" s="40" t="s">
        <v>624</v>
      </c>
      <c r="R441" s="40">
        <v>11</v>
      </c>
      <c r="S441" s="40" t="b">
        <v>0</v>
      </c>
      <c r="T441" s="40" t="b">
        <v>1</v>
      </c>
      <c r="U441" s="42">
        <f t="shared" si="6"/>
        <v>10.08</v>
      </c>
      <c r="V441" s="42">
        <v>0</v>
      </c>
      <c r="W441" s="42">
        <v>10.08</v>
      </c>
    </row>
    <row r="442" spans="4:23" x14ac:dyDescent="0.15">
      <c r="D442" s="43" t="s">
        <v>1186</v>
      </c>
      <c r="E442" s="43" t="s">
        <v>1191</v>
      </c>
      <c r="F442" s="43" t="s">
        <v>1192</v>
      </c>
      <c r="G442" s="43">
        <v>12</v>
      </c>
      <c r="H442" s="44">
        <v>40513.486805555563</v>
      </c>
      <c r="I442" s="43">
        <v>0.85</v>
      </c>
      <c r="J442" s="43">
        <v>14307</v>
      </c>
      <c r="K442" s="43" t="s">
        <v>71</v>
      </c>
      <c r="L442" s="45">
        <v>10.199999999999999</v>
      </c>
      <c r="M442" s="43" t="s">
        <v>721</v>
      </c>
      <c r="N442" s="43">
        <v>2010</v>
      </c>
      <c r="O442" s="43" t="s">
        <v>83</v>
      </c>
      <c r="P442" s="43" t="s">
        <v>126</v>
      </c>
      <c r="Q442" s="43" t="s">
        <v>624</v>
      </c>
      <c r="R442" s="43">
        <v>11</v>
      </c>
      <c r="S442" s="43" t="b">
        <v>0</v>
      </c>
      <c r="T442" s="43" t="b">
        <v>1</v>
      </c>
      <c r="U442" s="45">
        <f t="shared" si="6"/>
        <v>10.199999999999999</v>
      </c>
      <c r="V442" s="45">
        <v>0</v>
      </c>
      <c r="W442" s="45">
        <v>10.199999999999999</v>
      </c>
    </row>
    <row r="443" spans="4:23" x14ac:dyDescent="0.15">
      <c r="D443" s="40" t="s">
        <v>1186</v>
      </c>
      <c r="E443" s="40" t="s">
        <v>877</v>
      </c>
      <c r="F443" s="40" t="s">
        <v>878</v>
      </c>
      <c r="G443" s="40">
        <v>12</v>
      </c>
      <c r="H443" s="41">
        <v>40513.486805555563</v>
      </c>
      <c r="I443" s="40">
        <v>1.65</v>
      </c>
      <c r="J443" s="40">
        <v>14307</v>
      </c>
      <c r="K443" s="40" t="s">
        <v>71</v>
      </c>
      <c r="L443" s="42">
        <v>19.8</v>
      </c>
      <c r="M443" s="40" t="s">
        <v>721</v>
      </c>
      <c r="N443" s="40">
        <v>2010</v>
      </c>
      <c r="O443" s="40" t="s">
        <v>83</v>
      </c>
      <c r="P443" s="40" t="s">
        <v>126</v>
      </c>
      <c r="Q443" s="40" t="s">
        <v>624</v>
      </c>
      <c r="R443" s="40">
        <v>11</v>
      </c>
      <c r="S443" s="40" t="b">
        <v>0</v>
      </c>
      <c r="T443" s="40" t="b">
        <v>1</v>
      </c>
      <c r="U443" s="42">
        <f t="shared" si="6"/>
        <v>19.8</v>
      </c>
      <c r="V443" s="42">
        <v>0</v>
      </c>
      <c r="W443" s="42">
        <v>19.8</v>
      </c>
    </row>
    <row r="444" spans="4:23" x14ac:dyDescent="0.15">
      <c r="D444" s="43" t="s">
        <v>1186</v>
      </c>
      <c r="E444" s="43" t="s">
        <v>243</v>
      </c>
      <c r="F444" s="43" t="s">
        <v>244</v>
      </c>
      <c r="G444" s="43">
        <v>12</v>
      </c>
      <c r="H444" s="44">
        <v>40513.486805555563</v>
      </c>
      <c r="I444" s="43">
        <v>1.25</v>
      </c>
      <c r="J444" s="43">
        <v>14307</v>
      </c>
      <c r="K444" s="43" t="s">
        <v>71</v>
      </c>
      <c r="L444" s="45">
        <v>15</v>
      </c>
      <c r="M444" s="43" t="s">
        <v>721</v>
      </c>
      <c r="N444" s="43">
        <v>2010</v>
      </c>
      <c r="O444" s="43" t="s">
        <v>83</v>
      </c>
      <c r="P444" s="43" t="s">
        <v>126</v>
      </c>
      <c r="Q444" s="43" t="s">
        <v>624</v>
      </c>
      <c r="R444" s="43">
        <v>11</v>
      </c>
      <c r="S444" s="43" t="b">
        <v>0</v>
      </c>
      <c r="T444" s="43" t="b">
        <v>1</v>
      </c>
      <c r="U444" s="45">
        <f t="shared" si="6"/>
        <v>15</v>
      </c>
      <c r="V444" s="45">
        <v>0</v>
      </c>
      <c r="W444" s="45">
        <v>15</v>
      </c>
    </row>
    <row r="445" spans="4:23" x14ac:dyDescent="0.15">
      <c r="D445" s="40" t="s">
        <v>1186</v>
      </c>
      <c r="E445" s="40" t="s">
        <v>1193</v>
      </c>
      <c r="F445" s="40" t="s">
        <v>1194</v>
      </c>
      <c r="G445" s="40">
        <v>12</v>
      </c>
      <c r="H445" s="41">
        <v>40513.486805555563</v>
      </c>
      <c r="I445" s="40">
        <v>1.25</v>
      </c>
      <c r="J445" s="40">
        <v>14307</v>
      </c>
      <c r="K445" s="40" t="s">
        <v>71</v>
      </c>
      <c r="L445" s="42">
        <v>15</v>
      </c>
      <c r="M445" s="40" t="s">
        <v>721</v>
      </c>
      <c r="N445" s="40">
        <v>2010</v>
      </c>
      <c r="O445" s="40" t="s">
        <v>83</v>
      </c>
      <c r="P445" s="40" t="s">
        <v>126</v>
      </c>
      <c r="Q445" s="40" t="s">
        <v>624</v>
      </c>
      <c r="R445" s="40">
        <v>11</v>
      </c>
      <c r="S445" s="40" t="b">
        <v>0</v>
      </c>
      <c r="T445" s="40" t="b">
        <v>1</v>
      </c>
      <c r="U445" s="42">
        <f t="shared" si="6"/>
        <v>15</v>
      </c>
      <c r="V445" s="42">
        <v>0</v>
      </c>
      <c r="W445" s="42">
        <v>15</v>
      </c>
    </row>
    <row r="446" spans="4:23" x14ac:dyDescent="0.15">
      <c r="D446" s="43" t="s">
        <v>1186</v>
      </c>
      <c r="E446" s="43" t="s">
        <v>1195</v>
      </c>
      <c r="F446" s="43" t="s">
        <v>1196</v>
      </c>
      <c r="G446" s="43">
        <v>12</v>
      </c>
      <c r="H446" s="44">
        <v>40513.486805555563</v>
      </c>
      <c r="I446" s="43">
        <v>0.85</v>
      </c>
      <c r="J446" s="43">
        <v>14307</v>
      </c>
      <c r="K446" s="43" t="s">
        <v>71</v>
      </c>
      <c r="L446" s="45">
        <v>10.199999999999999</v>
      </c>
      <c r="M446" s="43" t="s">
        <v>721</v>
      </c>
      <c r="N446" s="43">
        <v>2010</v>
      </c>
      <c r="O446" s="43" t="s">
        <v>83</v>
      </c>
      <c r="P446" s="43" t="s">
        <v>126</v>
      </c>
      <c r="Q446" s="43" t="s">
        <v>624</v>
      </c>
      <c r="R446" s="43">
        <v>11</v>
      </c>
      <c r="S446" s="43" t="b">
        <v>0</v>
      </c>
      <c r="T446" s="43" t="b">
        <v>1</v>
      </c>
      <c r="U446" s="45">
        <f t="shared" si="6"/>
        <v>10.199999999999999</v>
      </c>
      <c r="V446" s="45">
        <v>0</v>
      </c>
      <c r="W446" s="45">
        <v>10.199999999999999</v>
      </c>
    </row>
    <row r="447" spans="4:23" x14ac:dyDescent="0.15">
      <c r="D447" s="40" t="s">
        <v>1186</v>
      </c>
      <c r="E447" s="40" t="s">
        <v>1197</v>
      </c>
      <c r="F447" s="40" t="s">
        <v>1198</v>
      </c>
      <c r="G447" s="40">
        <v>12</v>
      </c>
      <c r="H447" s="41">
        <v>40513.486805555563</v>
      </c>
      <c r="I447" s="40">
        <v>1.95</v>
      </c>
      <c r="J447" s="40">
        <v>14307</v>
      </c>
      <c r="K447" s="40" t="s">
        <v>71</v>
      </c>
      <c r="L447" s="42">
        <v>23.4</v>
      </c>
      <c r="M447" s="40" t="s">
        <v>721</v>
      </c>
      <c r="N447" s="40">
        <v>2010</v>
      </c>
      <c r="O447" s="40" t="s">
        <v>83</v>
      </c>
      <c r="P447" s="40" t="s">
        <v>126</v>
      </c>
      <c r="Q447" s="40" t="s">
        <v>624</v>
      </c>
      <c r="R447" s="40">
        <v>11</v>
      </c>
      <c r="S447" s="40" t="b">
        <v>0</v>
      </c>
      <c r="T447" s="40" t="b">
        <v>1</v>
      </c>
      <c r="U447" s="42">
        <f t="shared" si="6"/>
        <v>23.4</v>
      </c>
      <c r="V447" s="42">
        <v>0</v>
      </c>
      <c r="W447" s="42">
        <v>23.4</v>
      </c>
    </row>
    <row r="448" spans="4:23" x14ac:dyDescent="0.15">
      <c r="D448" s="43" t="s">
        <v>1186</v>
      </c>
      <c r="E448" s="43" t="s">
        <v>203</v>
      </c>
      <c r="F448" s="43" t="s">
        <v>204</v>
      </c>
      <c r="G448" s="43">
        <v>4</v>
      </c>
      <c r="H448" s="44">
        <v>40513.486805555563</v>
      </c>
      <c r="I448" s="43">
        <v>3.95</v>
      </c>
      <c r="J448" s="43">
        <v>14307</v>
      </c>
      <c r="K448" s="43" t="s">
        <v>71</v>
      </c>
      <c r="L448" s="45">
        <v>15.8</v>
      </c>
      <c r="M448" s="43" t="s">
        <v>721</v>
      </c>
      <c r="N448" s="43">
        <v>2010</v>
      </c>
      <c r="O448" s="43" t="s">
        <v>83</v>
      </c>
      <c r="P448" s="43" t="s">
        <v>126</v>
      </c>
      <c r="Q448" s="43" t="s">
        <v>624</v>
      </c>
      <c r="R448" s="43">
        <v>11</v>
      </c>
      <c r="S448" s="43" t="b">
        <v>0</v>
      </c>
      <c r="T448" s="43" t="b">
        <v>1</v>
      </c>
      <c r="U448" s="45">
        <f t="shared" si="6"/>
        <v>15.8</v>
      </c>
      <c r="V448" s="45">
        <v>0</v>
      </c>
      <c r="W448" s="45">
        <v>15.8</v>
      </c>
    </row>
    <row r="449" spans="4:23" x14ac:dyDescent="0.15">
      <c r="D449" s="40" t="s">
        <v>1186</v>
      </c>
      <c r="E449" s="40" t="s">
        <v>305</v>
      </c>
      <c r="F449" s="40" t="s">
        <v>306</v>
      </c>
      <c r="G449" s="40">
        <v>4</v>
      </c>
      <c r="H449" s="41">
        <v>40513.486805555563</v>
      </c>
      <c r="I449" s="40">
        <v>3.75</v>
      </c>
      <c r="J449" s="40">
        <v>14307</v>
      </c>
      <c r="K449" s="40" t="s">
        <v>71</v>
      </c>
      <c r="L449" s="42">
        <v>15</v>
      </c>
      <c r="M449" s="40" t="s">
        <v>721</v>
      </c>
      <c r="N449" s="40">
        <v>2010</v>
      </c>
      <c r="O449" s="40" t="s">
        <v>83</v>
      </c>
      <c r="P449" s="40" t="s">
        <v>126</v>
      </c>
      <c r="Q449" s="40" t="s">
        <v>624</v>
      </c>
      <c r="R449" s="40">
        <v>11</v>
      </c>
      <c r="S449" s="40" t="b">
        <v>0</v>
      </c>
      <c r="T449" s="40" t="b">
        <v>1</v>
      </c>
      <c r="U449" s="42">
        <f t="shared" si="6"/>
        <v>15</v>
      </c>
      <c r="V449" s="42">
        <v>0</v>
      </c>
      <c r="W449" s="42">
        <v>15</v>
      </c>
    </row>
    <row r="450" spans="4:23" x14ac:dyDescent="0.15">
      <c r="D450" s="43" t="s">
        <v>1186</v>
      </c>
      <c r="E450" s="43" t="s">
        <v>333</v>
      </c>
      <c r="F450" s="43" t="s">
        <v>334</v>
      </c>
      <c r="G450" s="43">
        <v>4</v>
      </c>
      <c r="H450" s="44">
        <v>40513.486805555563</v>
      </c>
      <c r="I450" s="43">
        <v>3.75</v>
      </c>
      <c r="J450" s="43">
        <v>14307</v>
      </c>
      <c r="K450" s="43" t="s">
        <v>71</v>
      </c>
      <c r="L450" s="45">
        <v>15</v>
      </c>
      <c r="M450" s="43" t="s">
        <v>721</v>
      </c>
      <c r="N450" s="43">
        <v>2010</v>
      </c>
      <c r="O450" s="43" t="s">
        <v>83</v>
      </c>
      <c r="P450" s="43" t="s">
        <v>126</v>
      </c>
      <c r="Q450" s="43" t="s">
        <v>624</v>
      </c>
      <c r="R450" s="43">
        <v>11</v>
      </c>
      <c r="S450" s="43" t="b">
        <v>0</v>
      </c>
      <c r="T450" s="43" t="b">
        <v>1</v>
      </c>
      <c r="U450" s="45">
        <f t="shared" si="6"/>
        <v>15</v>
      </c>
      <c r="V450" s="45">
        <v>0</v>
      </c>
      <c r="W450" s="45">
        <v>15</v>
      </c>
    </row>
    <row r="451" spans="4:23" x14ac:dyDescent="0.15">
      <c r="D451" s="40" t="s">
        <v>1186</v>
      </c>
      <c r="E451" s="40" t="s">
        <v>1172</v>
      </c>
      <c r="F451" s="40" t="s">
        <v>1173</v>
      </c>
      <c r="G451" s="40">
        <v>6</v>
      </c>
      <c r="H451" s="41">
        <v>40513.486805555563</v>
      </c>
      <c r="I451" s="40">
        <v>2.1</v>
      </c>
      <c r="J451" s="40">
        <v>14307</v>
      </c>
      <c r="K451" s="40" t="s">
        <v>71</v>
      </c>
      <c r="L451" s="42">
        <v>12.6</v>
      </c>
      <c r="M451" s="40" t="s">
        <v>721</v>
      </c>
      <c r="N451" s="40">
        <v>2010</v>
      </c>
      <c r="O451" s="40" t="s">
        <v>83</v>
      </c>
      <c r="P451" s="40" t="s">
        <v>126</v>
      </c>
      <c r="Q451" s="40" t="s">
        <v>624</v>
      </c>
      <c r="R451" s="40">
        <v>11</v>
      </c>
      <c r="S451" s="40" t="b">
        <v>0</v>
      </c>
      <c r="T451" s="40" t="b">
        <v>1</v>
      </c>
      <c r="U451" s="42">
        <f t="shared" si="6"/>
        <v>12.6</v>
      </c>
      <c r="V451" s="42">
        <v>0</v>
      </c>
      <c r="W451" s="42">
        <v>12.6</v>
      </c>
    </row>
    <row r="452" spans="4:23" x14ac:dyDescent="0.15">
      <c r="D452" s="43" t="s">
        <v>1186</v>
      </c>
      <c r="E452" s="43" t="s">
        <v>1199</v>
      </c>
      <c r="F452" s="43" t="s">
        <v>1200</v>
      </c>
      <c r="G452" s="43">
        <v>12</v>
      </c>
      <c r="H452" s="44">
        <v>40513.486805555563</v>
      </c>
      <c r="I452" s="43">
        <v>2.1</v>
      </c>
      <c r="J452" s="43">
        <v>14307</v>
      </c>
      <c r="K452" s="43" t="s">
        <v>71</v>
      </c>
      <c r="L452" s="45">
        <v>25.2</v>
      </c>
      <c r="M452" s="43" t="s">
        <v>721</v>
      </c>
      <c r="N452" s="43">
        <v>2010</v>
      </c>
      <c r="O452" s="43" t="s">
        <v>83</v>
      </c>
      <c r="P452" s="43" t="s">
        <v>126</v>
      </c>
      <c r="Q452" s="43" t="s">
        <v>624</v>
      </c>
      <c r="R452" s="43">
        <v>11</v>
      </c>
      <c r="S452" s="43" t="b">
        <v>0</v>
      </c>
      <c r="T452" s="43" t="b">
        <v>1</v>
      </c>
      <c r="U452" s="45">
        <f t="shared" si="6"/>
        <v>25.2</v>
      </c>
      <c r="V452" s="45">
        <v>0</v>
      </c>
      <c r="W452" s="45">
        <v>25.2</v>
      </c>
    </row>
    <row r="453" spans="4:23" x14ac:dyDescent="0.15">
      <c r="D453" s="40" t="s">
        <v>1186</v>
      </c>
      <c r="E453" s="40" t="s">
        <v>1201</v>
      </c>
      <c r="F453" s="40" t="s">
        <v>1202</v>
      </c>
      <c r="G453" s="40">
        <v>24</v>
      </c>
      <c r="H453" s="41">
        <v>40513.486805555563</v>
      </c>
      <c r="I453" s="40">
        <v>0.85</v>
      </c>
      <c r="J453" s="40">
        <v>14307</v>
      </c>
      <c r="K453" s="40" t="s">
        <v>71</v>
      </c>
      <c r="L453" s="42">
        <v>20.399999999999999</v>
      </c>
      <c r="M453" s="40" t="s">
        <v>721</v>
      </c>
      <c r="N453" s="40">
        <v>2010</v>
      </c>
      <c r="O453" s="40" t="s">
        <v>83</v>
      </c>
      <c r="P453" s="40" t="s">
        <v>126</v>
      </c>
      <c r="Q453" s="40" t="s">
        <v>624</v>
      </c>
      <c r="R453" s="40">
        <v>11</v>
      </c>
      <c r="S453" s="40" t="b">
        <v>0</v>
      </c>
      <c r="T453" s="40" t="b">
        <v>1</v>
      </c>
      <c r="U453" s="42">
        <f t="shared" ref="U453:U516" si="7">IF(T453,L453,0)</f>
        <v>20.399999999999999</v>
      </c>
      <c r="V453" s="42">
        <v>0</v>
      </c>
      <c r="W453" s="42">
        <v>20.399999999999999</v>
      </c>
    </row>
    <row r="454" spans="4:23" x14ac:dyDescent="0.15">
      <c r="D454" s="43" t="s">
        <v>1186</v>
      </c>
      <c r="E454" s="43" t="s">
        <v>201</v>
      </c>
      <c r="F454" s="43" t="s">
        <v>202</v>
      </c>
      <c r="G454" s="43">
        <v>12</v>
      </c>
      <c r="H454" s="44">
        <v>40513.486805555563</v>
      </c>
      <c r="I454" s="43">
        <v>1.25</v>
      </c>
      <c r="J454" s="43">
        <v>14307</v>
      </c>
      <c r="K454" s="43" t="s">
        <v>71</v>
      </c>
      <c r="L454" s="45">
        <v>15</v>
      </c>
      <c r="M454" s="43" t="s">
        <v>721</v>
      </c>
      <c r="N454" s="43">
        <v>2010</v>
      </c>
      <c r="O454" s="43" t="s">
        <v>83</v>
      </c>
      <c r="P454" s="43" t="s">
        <v>126</v>
      </c>
      <c r="Q454" s="43" t="s">
        <v>624</v>
      </c>
      <c r="R454" s="43">
        <v>11</v>
      </c>
      <c r="S454" s="43" t="b">
        <v>0</v>
      </c>
      <c r="T454" s="43" t="b">
        <v>1</v>
      </c>
      <c r="U454" s="45">
        <f t="shared" si="7"/>
        <v>15</v>
      </c>
      <c r="V454" s="45">
        <v>0</v>
      </c>
      <c r="W454" s="45">
        <v>15</v>
      </c>
    </row>
    <row r="455" spans="4:23" x14ac:dyDescent="0.15">
      <c r="D455" s="40" t="s">
        <v>1186</v>
      </c>
      <c r="E455" s="40" t="s">
        <v>1203</v>
      </c>
      <c r="F455" s="40" t="s">
        <v>1204</v>
      </c>
      <c r="G455" s="40">
        <v>12</v>
      </c>
      <c r="H455" s="41">
        <v>40513.486805555563</v>
      </c>
      <c r="I455" s="40">
        <v>0.95</v>
      </c>
      <c r="J455" s="40">
        <v>14307</v>
      </c>
      <c r="K455" s="40" t="s">
        <v>71</v>
      </c>
      <c r="L455" s="42">
        <v>11.4</v>
      </c>
      <c r="M455" s="40" t="s">
        <v>721</v>
      </c>
      <c r="N455" s="40">
        <v>2010</v>
      </c>
      <c r="O455" s="40" t="s">
        <v>83</v>
      </c>
      <c r="P455" s="40" t="s">
        <v>126</v>
      </c>
      <c r="Q455" s="40" t="s">
        <v>624</v>
      </c>
      <c r="R455" s="40">
        <v>11</v>
      </c>
      <c r="S455" s="40" t="b">
        <v>0</v>
      </c>
      <c r="T455" s="40" t="b">
        <v>1</v>
      </c>
      <c r="U455" s="42">
        <f t="shared" si="7"/>
        <v>11.4</v>
      </c>
      <c r="V455" s="42">
        <v>0</v>
      </c>
      <c r="W455" s="42">
        <v>11.4</v>
      </c>
    </row>
    <row r="456" spans="4:23" x14ac:dyDescent="0.15">
      <c r="D456" s="43" t="s">
        <v>1186</v>
      </c>
      <c r="E456" s="43" t="s">
        <v>283</v>
      </c>
      <c r="F456" s="43" t="s">
        <v>284</v>
      </c>
      <c r="G456" s="43">
        <v>6</v>
      </c>
      <c r="H456" s="44">
        <v>40513.486805555563</v>
      </c>
      <c r="I456" s="43">
        <v>2.95</v>
      </c>
      <c r="J456" s="43">
        <v>14307</v>
      </c>
      <c r="K456" s="43" t="s">
        <v>71</v>
      </c>
      <c r="L456" s="45">
        <v>17.7</v>
      </c>
      <c r="M456" s="43" t="s">
        <v>721</v>
      </c>
      <c r="N456" s="43">
        <v>2010</v>
      </c>
      <c r="O456" s="43" t="s">
        <v>83</v>
      </c>
      <c r="P456" s="43" t="s">
        <v>126</v>
      </c>
      <c r="Q456" s="43" t="s">
        <v>624</v>
      </c>
      <c r="R456" s="43">
        <v>11</v>
      </c>
      <c r="S456" s="43" t="b">
        <v>0</v>
      </c>
      <c r="T456" s="43" t="b">
        <v>1</v>
      </c>
      <c r="U456" s="45">
        <f t="shared" si="7"/>
        <v>17.7</v>
      </c>
      <c r="V456" s="45">
        <v>0</v>
      </c>
      <c r="W456" s="45">
        <v>17.7</v>
      </c>
    </row>
    <row r="457" spans="4:23" x14ac:dyDescent="0.15">
      <c r="D457" s="40" t="s">
        <v>1186</v>
      </c>
      <c r="E457" s="40" t="s">
        <v>1205</v>
      </c>
      <c r="F457" s="40" t="s">
        <v>1206</v>
      </c>
      <c r="G457" s="40">
        <v>12</v>
      </c>
      <c r="H457" s="41">
        <v>40513.486805555563</v>
      </c>
      <c r="I457" s="40">
        <v>1.65</v>
      </c>
      <c r="J457" s="40">
        <v>14307</v>
      </c>
      <c r="K457" s="40" t="s">
        <v>71</v>
      </c>
      <c r="L457" s="42">
        <v>19.8</v>
      </c>
      <c r="M457" s="40" t="s">
        <v>721</v>
      </c>
      <c r="N457" s="40">
        <v>2010</v>
      </c>
      <c r="O457" s="40" t="s">
        <v>83</v>
      </c>
      <c r="P457" s="40" t="s">
        <v>126</v>
      </c>
      <c r="Q457" s="40" t="s">
        <v>624</v>
      </c>
      <c r="R457" s="40">
        <v>11</v>
      </c>
      <c r="S457" s="40" t="b">
        <v>0</v>
      </c>
      <c r="T457" s="40" t="b">
        <v>1</v>
      </c>
      <c r="U457" s="42">
        <f t="shared" si="7"/>
        <v>19.8</v>
      </c>
      <c r="V457" s="42">
        <v>0</v>
      </c>
      <c r="W457" s="42">
        <v>19.8</v>
      </c>
    </row>
    <row r="458" spans="4:23" x14ac:dyDescent="0.15">
      <c r="D458" s="43" t="s">
        <v>1186</v>
      </c>
      <c r="E458" s="43" t="s">
        <v>1207</v>
      </c>
      <c r="F458" s="43" t="s">
        <v>1208</v>
      </c>
      <c r="G458" s="43">
        <v>6</v>
      </c>
      <c r="H458" s="44">
        <v>40513.486805555563</v>
      </c>
      <c r="I458" s="43">
        <v>1.65</v>
      </c>
      <c r="J458" s="43">
        <v>14307</v>
      </c>
      <c r="K458" s="43" t="s">
        <v>71</v>
      </c>
      <c r="L458" s="45">
        <v>9.8999999999999986</v>
      </c>
      <c r="M458" s="43" t="s">
        <v>721</v>
      </c>
      <c r="N458" s="43">
        <v>2010</v>
      </c>
      <c r="O458" s="43" t="s">
        <v>83</v>
      </c>
      <c r="P458" s="43" t="s">
        <v>126</v>
      </c>
      <c r="Q458" s="43" t="s">
        <v>624</v>
      </c>
      <c r="R458" s="43">
        <v>11</v>
      </c>
      <c r="S458" s="43" t="b">
        <v>0</v>
      </c>
      <c r="T458" s="43" t="b">
        <v>1</v>
      </c>
      <c r="U458" s="45">
        <f t="shared" si="7"/>
        <v>9.8999999999999986</v>
      </c>
      <c r="V458" s="45">
        <v>0</v>
      </c>
      <c r="W458" s="45">
        <v>9.8999999999999986</v>
      </c>
    </row>
    <row r="459" spans="4:23" x14ac:dyDescent="0.15">
      <c r="D459" s="40" t="s">
        <v>1186</v>
      </c>
      <c r="E459" s="40" t="s">
        <v>235</v>
      </c>
      <c r="F459" s="40" t="s">
        <v>236</v>
      </c>
      <c r="G459" s="40">
        <v>2</v>
      </c>
      <c r="H459" s="41">
        <v>40513.486805555563</v>
      </c>
      <c r="I459" s="40">
        <v>7.95</v>
      </c>
      <c r="J459" s="40">
        <v>14307</v>
      </c>
      <c r="K459" s="40" t="s">
        <v>71</v>
      </c>
      <c r="L459" s="42">
        <v>15.9</v>
      </c>
      <c r="M459" s="40" t="s">
        <v>721</v>
      </c>
      <c r="N459" s="40">
        <v>2010</v>
      </c>
      <c r="O459" s="40" t="s">
        <v>83</v>
      </c>
      <c r="P459" s="40" t="s">
        <v>126</v>
      </c>
      <c r="Q459" s="40" t="s">
        <v>624</v>
      </c>
      <c r="R459" s="40">
        <v>11</v>
      </c>
      <c r="S459" s="40" t="b">
        <v>0</v>
      </c>
      <c r="T459" s="40" t="b">
        <v>1</v>
      </c>
      <c r="U459" s="42">
        <f t="shared" si="7"/>
        <v>15.9</v>
      </c>
      <c r="V459" s="42">
        <v>0</v>
      </c>
      <c r="W459" s="42">
        <v>15.9</v>
      </c>
    </row>
    <row r="460" spans="4:23" x14ac:dyDescent="0.15">
      <c r="D460" s="43" t="s">
        <v>1186</v>
      </c>
      <c r="E460" s="43" t="s">
        <v>307</v>
      </c>
      <c r="F460" s="43" t="s">
        <v>308</v>
      </c>
      <c r="G460" s="43">
        <v>2</v>
      </c>
      <c r="H460" s="44">
        <v>40513.486805555563</v>
      </c>
      <c r="I460" s="43">
        <v>7.95</v>
      </c>
      <c r="J460" s="43">
        <v>14307</v>
      </c>
      <c r="K460" s="43" t="s">
        <v>71</v>
      </c>
      <c r="L460" s="45">
        <v>15.9</v>
      </c>
      <c r="M460" s="43" t="s">
        <v>721</v>
      </c>
      <c r="N460" s="43">
        <v>2010</v>
      </c>
      <c r="O460" s="43" t="s">
        <v>83</v>
      </c>
      <c r="P460" s="43" t="s">
        <v>126</v>
      </c>
      <c r="Q460" s="43" t="s">
        <v>624</v>
      </c>
      <c r="R460" s="43">
        <v>11</v>
      </c>
      <c r="S460" s="43" t="b">
        <v>0</v>
      </c>
      <c r="T460" s="43" t="b">
        <v>1</v>
      </c>
      <c r="U460" s="45">
        <f t="shared" si="7"/>
        <v>15.9</v>
      </c>
      <c r="V460" s="45">
        <v>0</v>
      </c>
      <c r="W460" s="45">
        <v>15.9</v>
      </c>
    </row>
    <row r="461" spans="4:23" x14ac:dyDescent="0.15">
      <c r="D461" s="40" t="s">
        <v>1186</v>
      </c>
      <c r="E461" s="40" t="s">
        <v>1209</v>
      </c>
      <c r="F461" s="40" t="s">
        <v>1210</v>
      </c>
      <c r="G461" s="40">
        <v>12</v>
      </c>
      <c r="H461" s="41">
        <v>40513.486805555563</v>
      </c>
      <c r="I461" s="40">
        <v>1.65</v>
      </c>
      <c r="J461" s="40">
        <v>14307</v>
      </c>
      <c r="K461" s="40" t="s">
        <v>71</v>
      </c>
      <c r="L461" s="42">
        <v>19.8</v>
      </c>
      <c r="M461" s="40" t="s">
        <v>721</v>
      </c>
      <c r="N461" s="40">
        <v>2010</v>
      </c>
      <c r="O461" s="40" t="s">
        <v>83</v>
      </c>
      <c r="P461" s="40" t="s">
        <v>126</v>
      </c>
      <c r="Q461" s="40" t="s">
        <v>624</v>
      </c>
      <c r="R461" s="40">
        <v>11</v>
      </c>
      <c r="S461" s="40" t="b">
        <v>0</v>
      </c>
      <c r="T461" s="40" t="b">
        <v>1</v>
      </c>
      <c r="U461" s="42">
        <f t="shared" si="7"/>
        <v>19.8</v>
      </c>
      <c r="V461" s="42">
        <v>0</v>
      </c>
      <c r="W461" s="42">
        <v>19.8</v>
      </c>
    </row>
    <row r="462" spans="4:23" x14ac:dyDescent="0.15">
      <c r="D462" s="43" t="s">
        <v>1186</v>
      </c>
      <c r="E462" s="43" t="s">
        <v>1211</v>
      </c>
      <c r="F462" s="43" t="s">
        <v>1212</v>
      </c>
      <c r="G462" s="43">
        <v>12</v>
      </c>
      <c r="H462" s="44">
        <v>40513.486805555563</v>
      </c>
      <c r="I462" s="43">
        <v>0.85</v>
      </c>
      <c r="J462" s="43">
        <v>14307</v>
      </c>
      <c r="K462" s="43" t="s">
        <v>71</v>
      </c>
      <c r="L462" s="45">
        <v>10.199999999999999</v>
      </c>
      <c r="M462" s="43" t="s">
        <v>721</v>
      </c>
      <c r="N462" s="43">
        <v>2010</v>
      </c>
      <c r="O462" s="43" t="s">
        <v>83</v>
      </c>
      <c r="P462" s="43" t="s">
        <v>126</v>
      </c>
      <c r="Q462" s="43" t="s">
        <v>624</v>
      </c>
      <c r="R462" s="43">
        <v>11</v>
      </c>
      <c r="S462" s="43" t="b">
        <v>0</v>
      </c>
      <c r="T462" s="43" t="b">
        <v>1</v>
      </c>
      <c r="U462" s="45">
        <f t="shared" si="7"/>
        <v>10.199999999999999</v>
      </c>
      <c r="V462" s="45">
        <v>0</v>
      </c>
      <c r="W462" s="45">
        <v>10.199999999999999</v>
      </c>
    </row>
    <row r="463" spans="4:23" x14ac:dyDescent="0.15">
      <c r="D463" s="40" t="s">
        <v>1186</v>
      </c>
      <c r="E463" s="40" t="s">
        <v>177</v>
      </c>
      <c r="F463" s="40" t="s">
        <v>178</v>
      </c>
      <c r="G463" s="40">
        <v>8</v>
      </c>
      <c r="H463" s="41">
        <v>40513.486805555563</v>
      </c>
      <c r="I463" s="40">
        <v>1.69</v>
      </c>
      <c r="J463" s="40">
        <v>14307</v>
      </c>
      <c r="K463" s="40" t="s">
        <v>71</v>
      </c>
      <c r="L463" s="42">
        <v>13.52</v>
      </c>
      <c r="M463" s="40" t="s">
        <v>721</v>
      </c>
      <c r="N463" s="40">
        <v>2010</v>
      </c>
      <c r="O463" s="40" t="s">
        <v>83</v>
      </c>
      <c r="P463" s="40" t="s">
        <v>126</v>
      </c>
      <c r="Q463" s="40" t="s">
        <v>624</v>
      </c>
      <c r="R463" s="40">
        <v>11</v>
      </c>
      <c r="S463" s="40" t="b">
        <v>0</v>
      </c>
      <c r="T463" s="40" t="b">
        <v>1</v>
      </c>
      <c r="U463" s="42">
        <f t="shared" si="7"/>
        <v>13.52</v>
      </c>
      <c r="V463" s="42">
        <v>0</v>
      </c>
      <c r="W463" s="42">
        <v>13.52</v>
      </c>
    </row>
    <row r="464" spans="4:23" x14ac:dyDescent="0.15">
      <c r="D464" s="43" t="s">
        <v>1186</v>
      </c>
      <c r="E464" s="43" t="s">
        <v>381</v>
      </c>
      <c r="F464" s="43" t="s">
        <v>382</v>
      </c>
      <c r="G464" s="43">
        <v>3</v>
      </c>
      <c r="H464" s="44">
        <v>40513.486805555563</v>
      </c>
      <c r="I464" s="43">
        <v>5.95</v>
      </c>
      <c r="J464" s="43">
        <v>14307</v>
      </c>
      <c r="K464" s="43" t="s">
        <v>71</v>
      </c>
      <c r="L464" s="45">
        <v>17.850000000000001</v>
      </c>
      <c r="M464" s="43" t="s">
        <v>721</v>
      </c>
      <c r="N464" s="43">
        <v>2010</v>
      </c>
      <c r="O464" s="43" t="s">
        <v>83</v>
      </c>
      <c r="P464" s="43" t="s">
        <v>126</v>
      </c>
      <c r="Q464" s="43" t="s">
        <v>624</v>
      </c>
      <c r="R464" s="43">
        <v>11</v>
      </c>
      <c r="S464" s="43" t="b">
        <v>0</v>
      </c>
      <c r="T464" s="43" t="b">
        <v>1</v>
      </c>
      <c r="U464" s="45">
        <f t="shared" si="7"/>
        <v>17.850000000000001</v>
      </c>
      <c r="V464" s="45">
        <v>0</v>
      </c>
      <c r="W464" s="45">
        <v>17.850000000000001</v>
      </c>
    </row>
    <row r="465" spans="4:23" x14ac:dyDescent="0.15">
      <c r="D465" s="40" t="s">
        <v>1186</v>
      </c>
      <c r="E465" s="40" t="s">
        <v>481</v>
      </c>
      <c r="F465" s="40" t="s">
        <v>482</v>
      </c>
      <c r="G465" s="40">
        <v>3</v>
      </c>
      <c r="H465" s="41">
        <v>40513.486805555563</v>
      </c>
      <c r="I465" s="40">
        <v>5.95</v>
      </c>
      <c r="J465" s="40">
        <v>14307</v>
      </c>
      <c r="K465" s="40" t="s">
        <v>71</v>
      </c>
      <c r="L465" s="42">
        <v>17.850000000000001</v>
      </c>
      <c r="M465" s="40" t="s">
        <v>721</v>
      </c>
      <c r="N465" s="40">
        <v>2010</v>
      </c>
      <c r="O465" s="40" t="s">
        <v>83</v>
      </c>
      <c r="P465" s="40" t="s">
        <v>126</v>
      </c>
      <c r="Q465" s="40" t="s">
        <v>624</v>
      </c>
      <c r="R465" s="40">
        <v>11</v>
      </c>
      <c r="S465" s="40" t="b">
        <v>0</v>
      </c>
      <c r="T465" s="40" t="b">
        <v>1</v>
      </c>
      <c r="U465" s="42">
        <f t="shared" si="7"/>
        <v>17.850000000000001</v>
      </c>
      <c r="V465" s="42">
        <v>0</v>
      </c>
      <c r="W465" s="42">
        <v>17.850000000000001</v>
      </c>
    </row>
    <row r="466" spans="4:23" x14ac:dyDescent="0.15">
      <c r="D466" s="43" t="s">
        <v>1186</v>
      </c>
      <c r="E466" s="43" t="s">
        <v>1051</v>
      </c>
      <c r="F466" s="43" t="s">
        <v>1052</v>
      </c>
      <c r="G466" s="43">
        <v>8</v>
      </c>
      <c r="H466" s="44">
        <v>40513.486805555563</v>
      </c>
      <c r="I466" s="43">
        <v>2.95</v>
      </c>
      <c r="J466" s="43">
        <v>14307</v>
      </c>
      <c r="K466" s="43" t="s">
        <v>71</v>
      </c>
      <c r="L466" s="45">
        <v>23.6</v>
      </c>
      <c r="M466" s="43" t="s">
        <v>721</v>
      </c>
      <c r="N466" s="43">
        <v>2010</v>
      </c>
      <c r="O466" s="43" t="s">
        <v>83</v>
      </c>
      <c r="P466" s="43" t="s">
        <v>126</v>
      </c>
      <c r="Q466" s="43" t="s">
        <v>624</v>
      </c>
      <c r="R466" s="43">
        <v>11</v>
      </c>
      <c r="S466" s="43" t="b">
        <v>0</v>
      </c>
      <c r="T466" s="43" t="b">
        <v>1</v>
      </c>
      <c r="U466" s="45">
        <f t="shared" si="7"/>
        <v>23.6</v>
      </c>
      <c r="V466" s="45">
        <v>0</v>
      </c>
      <c r="W466" s="45">
        <v>23.6</v>
      </c>
    </row>
    <row r="467" spans="4:23" x14ac:dyDescent="0.15">
      <c r="D467" s="40" t="s">
        <v>1186</v>
      </c>
      <c r="E467" s="40" t="s">
        <v>1213</v>
      </c>
      <c r="F467" s="40" t="s">
        <v>1214</v>
      </c>
      <c r="G467" s="40">
        <v>36</v>
      </c>
      <c r="H467" s="41">
        <v>40513.486805555563</v>
      </c>
      <c r="I467" s="40">
        <v>0.85</v>
      </c>
      <c r="J467" s="40">
        <v>14307</v>
      </c>
      <c r="K467" s="40" t="s">
        <v>71</v>
      </c>
      <c r="L467" s="42">
        <v>30.6</v>
      </c>
      <c r="M467" s="40" t="s">
        <v>721</v>
      </c>
      <c r="N467" s="40">
        <v>2010</v>
      </c>
      <c r="O467" s="40" t="s">
        <v>83</v>
      </c>
      <c r="P467" s="40" t="s">
        <v>126</v>
      </c>
      <c r="Q467" s="40" t="s">
        <v>624</v>
      </c>
      <c r="R467" s="40">
        <v>11</v>
      </c>
      <c r="S467" s="40" t="b">
        <v>0</v>
      </c>
      <c r="T467" s="40" t="b">
        <v>1</v>
      </c>
      <c r="U467" s="42">
        <f t="shared" si="7"/>
        <v>30.6</v>
      </c>
      <c r="V467" s="42">
        <v>0</v>
      </c>
      <c r="W467" s="42">
        <v>30.6</v>
      </c>
    </row>
    <row r="468" spans="4:23" x14ac:dyDescent="0.15">
      <c r="D468" s="43" t="s">
        <v>1186</v>
      </c>
      <c r="E468" s="43" t="s">
        <v>1215</v>
      </c>
      <c r="F468" s="43" t="s">
        <v>1216</v>
      </c>
      <c r="G468" s="43">
        <v>12</v>
      </c>
      <c r="H468" s="44">
        <v>40513.486805555563</v>
      </c>
      <c r="I468" s="43">
        <v>0.42</v>
      </c>
      <c r="J468" s="43">
        <v>14307</v>
      </c>
      <c r="K468" s="43" t="s">
        <v>71</v>
      </c>
      <c r="L468" s="45">
        <v>5.04</v>
      </c>
      <c r="M468" s="43" t="s">
        <v>721</v>
      </c>
      <c r="N468" s="43">
        <v>2010</v>
      </c>
      <c r="O468" s="43" t="s">
        <v>83</v>
      </c>
      <c r="P468" s="43" t="s">
        <v>126</v>
      </c>
      <c r="Q468" s="43" t="s">
        <v>624</v>
      </c>
      <c r="R468" s="43">
        <v>11</v>
      </c>
      <c r="S468" s="43" t="b">
        <v>0</v>
      </c>
      <c r="T468" s="43" t="b">
        <v>1</v>
      </c>
      <c r="U468" s="45">
        <f t="shared" si="7"/>
        <v>5.04</v>
      </c>
      <c r="V468" s="45">
        <v>0</v>
      </c>
      <c r="W468" s="45">
        <v>5.04</v>
      </c>
    </row>
    <row r="469" spans="4:23" x14ac:dyDescent="0.15">
      <c r="D469" s="40" t="s">
        <v>1186</v>
      </c>
      <c r="E469" s="40" t="s">
        <v>1217</v>
      </c>
      <c r="F469" s="40" t="s">
        <v>1218</v>
      </c>
      <c r="G469" s="40">
        <v>25</v>
      </c>
      <c r="H469" s="41">
        <v>40513.486805555563</v>
      </c>
      <c r="I469" s="40">
        <v>0.42</v>
      </c>
      <c r="J469" s="40">
        <v>14307</v>
      </c>
      <c r="K469" s="40" t="s">
        <v>71</v>
      </c>
      <c r="L469" s="42">
        <v>10.5</v>
      </c>
      <c r="M469" s="40" t="s">
        <v>721</v>
      </c>
      <c r="N469" s="40">
        <v>2010</v>
      </c>
      <c r="O469" s="40" t="s">
        <v>83</v>
      </c>
      <c r="P469" s="40" t="s">
        <v>126</v>
      </c>
      <c r="Q469" s="40" t="s">
        <v>624</v>
      </c>
      <c r="R469" s="40">
        <v>11</v>
      </c>
      <c r="S469" s="40" t="b">
        <v>0</v>
      </c>
      <c r="T469" s="40" t="b">
        <v>1</v>
      </c>
      <c r="U469" s="42">
        <f t="shared" si="7"/>
        <v>10.5</v>
      </c>
      <c r="V469" s="42">
        <v>0</v>
      </c>
      <c r="W469" s="42">
        <v>10.5</v>
      </c>
    </row>
    <row r="470" spans="4:23" x14ac:dyDescent="0.15">
      <c r="D470" s="43" t="s">
        <v>1186</v>
      </c>
      <c r="E470" s="43" t="s">
        <v>1219</v>
      </c>
      <c r="F470" s="43" t="s">
        <v>1220</v>
      </c>
      <c r="G470" s="43">
        <v>4</v>
      </c>
      <c r="H470" s="44">
        <v>40513.486805555563</v>
      </c>
      <c r="I470" s="43">
        <v>4.25</v>
      </c>
      <c r="J470" s="43">
        <v>14307</v>
      </c>
      <c r="K470" s="43" t="s">
        <v>71</v>
      </c>
      <c r="L470" s="45">
        <v>17</v>
      </c>
      <c r="M470" s="43" t="s">
        <v>721</v>
      </c>
      <c r="N470" s="43">
        <v>2010</v>
      </c>
      <c r="O470" s="43" t="s">
        <v>83</v>
      </c>
      <c r="P470" s="43" t="s">
        <v>126</v>
      </c>
      <c r="Q470" s="43" t="s">
        <v>624</v>
      </c>
      <c r="R470" s="43">
        <v>11</v>
      </c>
      <c r="S470" s="43" t="b">
        <v>0</v>
      </c>
      <c r="T470" s="43" t="b">
        <v>1</v>
      </c>
      <c r="U470" s="45">
        <f t="shared" si="7"/>
        <v>17</v>
      </c>
      <c r="V470" s="45">
        <v>0</v>
      </c>
      <c r="W470" s="45">
        <v>17</v>
      </c>
    </row>
    <row r="471" spans="4:23" x14ac:dyDescent="0.15">
      <c r="D471" s="40" t="s">
        <v>1186</v>
      </c>
      <c r="E471" s="40" t="s">
        <v>946</v>
      </c>
      <c r="F471" s="40" t="s">
        <v>947</v>
      </c>
      <c r="G471" s="40">
        <v>3</v>
      </c>
      <c r="H471" s="41">
        <v>40513.486805555563</v>
      </c>
      <c r="I471" s="40">
        <v>5.95</v>
      </c>
      <c r="J471" s="40">
        <v>14307</v>
      </c>
      <c r="K471" s="40" t="s">
        <v>71</v>
      </c>
      <c r="L471" s="42">
        <v>17.850000000000001</v>
      </c>
      <c r="M471" s="40" t="s">
        <v>721</v>
      </c>
      <c r="N471" s="40">
        <v>2010</v>
      </c>
      <c r="O471" s="40" t="s">
        <v>83</v>
      </c>
      <c r="P471" s="40" t="s">
        <v>126</v>
      </c>
      <c r="Q471" s="40" t="s">
        <v>624</v>
      </c>
      <c r="R471" s="40">
        <v>11</v>
      </c>
      <c r="S471" s="40" t="b">
        <v>0</v>
      </c>
      <c r="T471" s="40" t="b">
        <v>1</v>
      </c>
      <c r="U471" s="42">
        <f t="shared" si="7"/>
        <v>17.850000000000001</v>
      </c>
      <c r="V471" s="42">
        <v>0</v>
      </c>
      <c r="W471" s="42">
        <v>17.850000000000001</v>
      </c>
    </row>
    <row r="472" spans="4:23" x14ac:dyDescent="0.15">
      <c r="D472" s="43" t="s">
        <v>1186</v>
      </c>
      <c r="E472" s="43" t="s">
        <v>948</v>
      </c>
      <c r="F472" s="43" t="s">
        <v>949</v>
      </c>
      <c r="G472" s="43">
        <v>3</v>
      </c>
      <c r="H472" s="44">
        <v>40513.486805555563</v>
      </c>
      <c r="I472" s="43">
        <v>5.95</v>
      </c>
      <c r="J472" s="43">
        <v>14307</v>
      </c>
      <c r="K472" s="43" t="s">
        <v>71</v>
      </c>
      <c r="L472" s="45">
        <v>17.850000000000001</v>
      </c>
      <c r="M472" s="43" t="s">
        <v>721</v>
      </c>
      <c r="N472" s="43">
        <v>2010</v>
      </c>
      <c r="O472" s="43" t="s">
        <v>83</v>
      </c>
      <c r="P472" s="43" t="s">
        <v>126</v>
      </c>
      <c r="Q472" s="43" t="s">
        <v>624</v>
      </c>
      <c r="R472" s="43">
        <v>11</v>
      </c>
      <c r="S472" s="43" t="b">
        <v>0</v>
      </c>
      <c r="T472" s="43" t="b">
        <v>1</v>
      </c>
      <c r="U472" s="45">
        <f t="shared" si="7"/>
        <v>17.850000000000001</v>
      </c>
      <c r="V472" s="45">
        <v>0</v>
      </c>
      <c r="W472" s="45">
        <v>17.850000000000001</v>
      </c>
    </row>
    <row r="473" spans="4:23" x14ac:dyDescent="0.15">
      <c r="D473" s="40" t="s">
        <v>1186</v>
      </c>
      <c r="E473" s="40" t="s">
        <v>801</v>
      </c>
      <c r="F473" s="40" t="s">
        <v>802</v>
      </c>
      <c r="G473" s="40">
        <v>6</v>
      </c>
      <c r="H473" s="41">
        <v>40513.486805555563</v>
      </c>
      <c r="I473" s="40">
        <v>3.75</v>
      </c>
      <c r="J473" s="40">
        <v>14307</v>
      </c>
      <c r="K473" s="40" t="s">
        <v>71</v>
      </c>
      <c r="L473" s="42">
        <v>22.5</v>
      </c>
      <c r="M473" s="40" t="s">
        <v>721</v>
      </c>
      <c r="N473" s="40">
        <v>2010</v>
      </c>
      <c r="O473" s="40" t="s">
        <v>83</v>
      </c>
      <c r="P473" s="40" t="s">
        <v>126</v>
      </c>
      <c r="Q473" s="40" t="s">
        <v>624</v>
      </c>
      <c r="R473" s="40">
        <v>11</v>
      </c>
      <c r="S473" s="40" t="b">
        <v>0</v>
      </c>
      <c r="T473" s="40" t="b">
        <v>1</v>
      </c>
      <c r="U473" s="42">
        <f t="shared" si="7"/>
        <v>22.5</v>
      </c>
      <c r="V473" s="42">
        <v>0</v>
      </c>
      <c r="W473" s="42">
        <v>22.5</v>
      </c>
    </row>
    <row r="474" spans="4:23" x14ac:dyDescent="0.15">
      <c r="D474" s="43" t="s">
        <v>1186</v>
      </c>
      <c r="E474" s="43" t="s">
        <v>323</v>
      </c>
      <c r="F474" s="43" t="s">
        <v>324</v>
      </c>
      <c r="G474" s="43">
        <v>24</v>
      </c>
      <c r="H474" s="44">
        <v>40513.486805555563</v>
      </c>
      <c r="I474" s="43">
        <v>0.55000000000000004</v>
      </c>
      <c r="J474" s="43">
        <v>14307</v>
      </c>
      <c r="K474" s="43" t="s">
        <v>71</v>
      </c>
      <c r="L474" s="45">
        <v>13.2</v>
      </c>
      <c r="M474" s="43" t="s">
        <v>721</v>
      </c>
      <c r="N474" s="43">
        <v>2010</v>
      </c>
      <c r="O474" s="43" t="s">
        <v>83</v>
      </c>
      <c r="P474" s="43" t="s">
        <v>126</v>
      </c>
      <c r="Q474" s="43" t="s">
        <v>624</v>
      </c>
      <c r="R474" s="43">
        <v>11</v>
      </c>
      <c r="S474" s="43" t="b">
        <v>0</v>
      </c>
      <c r="T474" s="43" t="b">
        <v>1</v>
      </c>
      <c r="U474" s="45">
        <f t="shared" si="7"/>
        <v>13.2</v>
      </c>
      <c r="V474" s="45">
        <v>0</v>
      </c>
      <c r="W474" s="45">
        <v>13.2</v>
      </c>
    </row>
    <row r="475" spans="4:23" x14ac:dyDescent="0.15">
      <c r="D475" s="40" t="s">
        <v>1186</v>
      </c>
      <c r="E475" s="40" t="s">
        <v>1221</v>
      </c>
      <c r="F475" s="40" t="s">
        <v>1222</v>
      </c>
      <c r="G475" s="40">
        <v>12</v>
      </c>
      <c r="H475" s="41">
        <v>40513.486805555563</v>
      </c>
      <c r="I475" s="40">
        <v>1.45</v>
      </c>
      <c r="J475" s="40">
        <v>14307</v>
      </c>
      <c r="K475" s="40" t="s">
        <v>71</v>
      </c>
      <c r="L475" s="42">
        <v>17.399999999999999</v>
      </c>
      <c r="M475" s="40" t="s">
        <v>721</v>
      </c>
      <c r="N475" s="40">
        <v>2010</v>
      </c>
      <c r="O475" s="40" t="s">
        <v>83</v>
      </c>
      <c r="P475" s="40" t="s">
        <v>126</v>
      </c>
      <c r="Q475" s="40" t="s">
        <v>624</v>
      </c>
      <c r="R475" s="40">
        <v>11</v>
      </c>
      <c r="S475" s="40" t="b">
        <v>0</v>
      </c>
      <c r="T475" s="40" t="b">
        <v>1</v>
      </c>
      <c r="U475" s="42">
        <f t="shared" si="7"/>
        <v>17.399999999999999</v>
      </c>
      <c r="V475" s="42">
        <v>0</v>
      </c>
      <c r="W475" s="42">
        <v>17.399999999999999</v>
      </c>
    </row>
    <row r="476" spans="4:23" x14ac:dyDescent="0.15">
      <c r="D476" s="43" t="s">
        <v>1186</v>
      </c>
      <c r="E476" s="43" t="s">
        <v>753</v>
      </c>
      <c r="F476" s="43" t="s">
        <v>754</v>
      </c>
      <c r="G476" s="43">
        <v>3</v>
      </c>
      <c r="H476" s="44">
        <v>40513.486805555563</v>
      </c>
      <c r="I476" s="43">
        <v>4.95</v>
      </c>
      <c r="J476" s="43">
        <v>14307</v>
      </c>
      <c r="K476" s="43" t="s">
        <v>71</v>
      </c>
      <c r="L476" s="45">
        <v>14.85</v>
      </c>
      <c r="M476" s="43" t="s">
        <v>721</v>
      </c>
      <c r="N476" s="43">
        <v>2010</v>
      </c>
      <c r="O476" s="43" t="s">
        <v>83</v>
      </c>
      <c r="P476" s="43" t="s">
        <v>126</v>
      </c>
      <c r="Q476" s="43" t="s">
        <v>624</v>
      </c>
      <c r="R476" s="43">
        <v>11</v>
      </c>
      <c r="S476" s="43" t="b">
        <v>0</v>
      </c>
      <c r="T476" s="43" t="b">
        <v>1</v>
      </c>
      <c r="U476" s="45">
        <f t="shared" si="7"/>
        <v>14.85</v>
      </c>
      <c r="V476" s="45">
        <v>0</v>
      </c>
      <c r="W476" s="45">
        <v>14.85</v>
      </c>
    </row>
    <row r="477" spans="4:23" x14ac:dyDescent="0.15">
      <c r="D477" s="40" t="s">
        <v>1186</v>
      </c>
      <c r="E477" s="40" t="s">
        <v>992</v>
      </c>
      <c r="F477" s="40" t="s">
        <v>993</v>
      </c>
      <c r="G477" s="40">
        <v>12</v>
      </c>
      <c r="H477" s="41">
        <v>40513.486805555563</v>
      </c>
      <c r="I477" s="40">
        <v>1.65</v>
      </c>
      <c r="J477" s="40">
        <v>14307</v>
      </c>
      <c r="K477" s="40" t="s">
        <v>71</v>
      </c>
      <c r="L477" s="42">
        <v>19.8</v>
      </c>
      <c r="M477" s="40" t="s">
        <v>721</v>
      </c>
      <c r="N477" s="40">
        <v>2010</v>
      </c>
      <c r="O477" s="40" t="s">
        <v>83</v>
      </c>
      <c r="P477" s="40" t="s">
        <v>126</v>
      </c>
      <c r="Q477" s="40" t="s">
        <v>624</v>
      </c>
      <c r="R477" s="40">
        <v>11</v>
      </c>
      <c r="S477" s="40" t="b">
        <v>0</v>
      </c>
      <c r="T477" s="40" t="b">
        <v>1</v>
      </c>
      <c r="U477" s="42">
        <f t="shared" si="7"/>
        <v>19.8</v>
      </c>
      <c r="V477" s="42">
        <v>0</v>
      </c>
      <c r="W477" s="42">
        <v>19.8</v>
      </c>
    </row>
    <row r="478" spans="4:23" x14ac:dyDescent="0.15">
      <c r="D478" s="43" t="s">
        <v>1186</v>
      </c>
      <c r="E478" s="43" t="s">
        <v>1223</v>
      </c>
      <c r="F478" s="43" t="s">
        <v>1224</v>
      </c>
      <c r="G478" s="43">
        <v>30</v>
      </c>
      <c r="H478" s="44">
        <v>40513.486805555563</v>
      </c>
      <c r="I478" s="43">
        <v>0.21</v>
      </c>
      <c r="J478" s="43">
        <v>14307</v>
      </c>
      <c r="K478" s="43" t="s">
        <v>71</v>
      </c>
      <c r="L478" s="45">
        <v>6.3</v>
      </c>
      <c r="M478" s="43" t="s">
        <v>721</v>
      </c>
      <c r="N478" s="43">
        <v>2010</v>
      </c>
      <c r="O478" s="43" t="s">
        <v>83</v>
      </c>
      <c r="P478" s="43" t="s">
        <v>126</v>
      </c>
      <c r="Q478" s="43" t="s">
        <v>624</v>
      </c>
      <c r="R478" s="43">
        <v>11</v>
      </c>
      <c r="S478" s="43" t="b">
        <v>0</v>
      </c>
      <c r="T478" s="43" t="b">
        <v>1</v>
      </c>
      <c r="U478" s="45">
        <f t="shared" si="7"/>
        <v>6.3</v>
      </c>
      <c r="V478" s="45">
        <v>0</v>
      </c>
      <c r="W478" s="45">
        <v>6.3</v>
      </c>
    </row>
    <row r="479" spans="4:23" x14ac:dyDescent="0.15">
      <c r="D479" s="40" t="s">
        <v>1186</v>
      </c>
      <c r="E479" s="40" t="s">
        <v>1225</v>
      </c>
      <c r="F479" s="40" t="s">
        <v>1226</v>
      </c>
      <c r="G479" s="40">
        <v>12</v>
      </c>
      <c r="H479" s="41">
        <v>40513.486805555563</v>
      </c>
      <c r="I479" s="40">
        <v>0.42</v>
      </c>
      <c r="J479" s="40">
        <v>14307</v>
      </c>
      <c r="K479" s="40" t="s">
        <v>71</v>
      </c>
      <c r="L479" s="42">
        <v>5.04</v>
      </c>
      <c r="M479" s="40" t="s">
        <v>721</v>
      </c>
      <c r="N479" s="40">
        <v>2010</v>
      </c>
      <c r="O479" s="40" t="s">
        <v>83</v>
      </c>
      <c r="P479" s="40" t="s">
        <v>126</v>
      </c>
      <c r="Q479" s="40" t="s">
        <v>624</v>
      </c>
      <c r="R479" s="40">
        <v>11</v>
      </c>
      <c r="S479" s="40" t="b">
        <v>0</v>
      </c>
      <c r="T479" s="40" t="b">
        <v>1</v>
      </c>
      <c r="U479" s="42">
        <f t="shared" si="7"/>
        <v>5.04</v>
      </c>
      <c r="V479" s="42">
        <v>0</v>
      </c>
      <c r="W479" s="42">
        <v>5.04</v>
      </c>
    </row>
    <row r="480" spans="4:23" x14ac:dyDescent="0.15">
      <c r="D480" s="43" t="s">
        <v>1186</v>
      </c>
      <c r="E480" s="43" t="s">
        <v>1227</v>
      </c>
      <c r="F480" s="43" t="s">
        <v>1228</v>
      </c>
      <c r="G480" s="43">
        <v>12</v>
      </c>
      <c r="H480" s="44">
        <v>40513.486805555563</v>
      </c>
      <c r="I480" s="43">
        <v>1.95</v>
      </c>
      <c r="J480" s="43">
        <v>14307</v>
      </c>
      <c r="K480" s="43" t="s">
        <v>71</v>
      </c>
      <c r="L480" s="45">
        <v>23.4</v>
      </c>
      <c r="M480" s="43" t="s">
        <v>721</v>
      </c>
      <c r="N480" s="43">
        <v>2010</v>
      </c>
      <c r="O480" s="43" t="s">
        <v>83</v>
      </c>
      <c r="P480" s="43" t="s">
        <v>126</v>
      </c>
      <c r="Q480" s="43" t="s">
        <v>624</v>
      </c>
      <c r="R480" s="43">
        <v>11</v>
      </c>
      <c r="S480" s="43" t="b">
        <v>0</v>
      </c>
      <c r="T480" s="43" t="b">
        <v>1</v>
      </c>
      <c r="U480" s="45">
        <f t="shared" si="7"/>
        <v>23.4</v>
      </c>
      <c r="V480" s="45">
        <v>0</v>
      </c>
      <c r="W480" s="45">
        <v>23.4</v>
      </c>
    </row>
    <row r="481" spans="4:23" x14ac:dyDescent="0.15">
      <c r="D481" s="40" t="s">
        <v>1186</v>
      </c>
      <c r="E481" s="40" t="s">
        <v>241</v>
      </c>
      <c r="F481" s="40" t="s">
        <v>242</v>
      </c>
      <c r="G481" s="40">
        <v>6</v>
      </c>
      <c r="H481" s="41">
        <v>40513.486805555563</v>
      </c>
      <c r="I481" s="40">
        <v>2.5499999999999998</v>
      </c>
      <c r="J481" s="40">
        <v>14307</v>
      </c>
      <c r="K481" s="40" t="s">
        <v>71</v>
      </c>
      <c r="L481" s="42">
        <v>15.3</v>
      </c>
      <c r="M481" s="40" t="s">
        <v>721</v>
      </c>
      <c r="N481" s="40">
        <v>2010</v>
      </c>
      <c r="O481" s="40" t="s">
        <v>83</v>
      </c>
      <c r="P481" s="40" t="s">
        <v>126</v>
      </c>
      <c r="Q481" s="40" t="s">
        <v>624</v>
      </c>
      <c r="R481" s="40">
        <v>11</v>
      </c>
      <c r="S481" s="40" t="b">
        <v>0</v>
      </c>
      <c r="T481" s="40" t="b">
        <v>1</v>
      </c>
      <c r="U481" s="42">
        <f t="shared" si="7"/>
        <v>15.3</v>
      </c>
      <c r="V481" s="42">
        <v>0</v>
      </c>
      <c r="W481" s="42">
        <v>15.3</v>
      </c>
    </row>
    <row r="482" spans="4:23" x14ac:dyDescent="0.15">
      <c r="D482" s="43" t="s">
        <v>1186</v>
      </c>
      <c r="E482" s="43" t="s">
        <v>1125</v>
      </c>
      <c r="F482" s="43" t="s">
        <v>1126</v>
      </c>
      <c r="G482" s="43">
        <v>12</v>
      </c>
      <c r="H482" s="44">
        <v>40513.486805555563</v>
      </c>
      <c r="I482" s="43">
        <v>2.5499999999999998</v>
      </c>
      <c r="J482" s="43">
        <v>14307</v>
      </c>
      <c r="K482" s="43" t="s">
        <v>71</v>
      </c>
      <c r="L482" s="45">
        <v>30.6</v>
      </c>
      <c r="M482" s="43" t="s">
        <v>721</v>
      </c>
      <c r="N482" s="43">
        <v>2010</v>
      </c>
      <c r="O482" s="43" t="s">
        <v>83</v>
      </c>
      <c r="P482" s="43" t="s">
        <v>126</v>
      </c>
      <c r="Q482" s="43" t="s">
        <v>624</v>
      </c>
      <c r="R482" s="43">
        <v>11</v>
      </c>
      <c r="S482" s="43" t="b">
        <v>0</v>
      </c>
      <c r="T482" s="43" t="b">
        <v>1</v>
      </c>
      <c r="U482" s="45">
        <f t="shared" si="7"/>
        <v>30.6</v>
      </c>
      <c r="V482" s="45">
        <v>0</v>
      </c>
      <c r="W482" s="45">
        <v>30.6</v>
      </c>
    </row>
    <row r="483" spans="4:23" x14ac:dyDescent="0.15">
      <c r="D483" s="40" t="s">
        <v>1186</v>
      </c>
      <c r="E483" s="40" t="s">
        <v>1229</v>
      </c>
      <c r="F483" s="40" t="s">
        <v>1230</v>
      </c>
      <c r="G483" s="40">
        <v>10</v>
      </c>
      <c r="H483" s="41">
        <v>40513.486805555563</v>
      </c>
      <c r="I483" s="40">
        <v>1.65</v>
      </c>
      <c r="J483" s="40">
        <v>14307</v>
      </c>
      <c r="K483" s="40" t="s">
        <v>71</v>
      </c>
      <c r="L483" s="42">
        <v>16.5</v>
      </c>
      <c r="M483" s="40" t="s">
        <v>721</v>
      </c>
      <c r="N483" s="40">
        <v>2010</v>
      </c>
      <c r="O483" s="40" t="s">
        <v>83</v>
      </c>
      <c r="P483" s="40" t="s">
        <v>126</v>
      </c>
      <c r="Q483" s="40" t="s">
        <v>624</v>
      </c>
      <c r="R483" s="40">
        <v>11</v>
      </c>
      <c r="S483" s="40" t="b">
        <v>0</v>
      </c>
      <c r="T483" s="40" t="b">
        <v>1</v>
      </c>
      <c r="U483" s="42">
        <f t="shared" si="7"/>
        <v>16.5</v>
      </c>
      <c r="V483" s="42">
        <v>0</v>
      </c>
      <c r="W483" s="42">
        <v>16.5</v>
      </c>
    </row>
    <row r="484" spans="4:23" x14ac:dyDescent="0.15">
      <c r="D484" s="43" t="s">
        <v>1186</v>
      </c>
      <c r="E484" s="43" t="s">
        <v>385</v>
      </c>
      <c r="F484" s="43" t="s">
        <v>386</v>
      </c>
      <c r="G484" s="43">
        <v>36</v>
      </c>
      <c r="H484" s="44">
        <v>40513.486805555563</v>
      </c>
      <c r="I484" s="43">
        <v>0.65</v>
      </c>
      <c r="J484" s="43">
        <v>14307</v>
      </c>
      <c r="K484" s="43" t="s">
        <v>71</v>
      </c>
      <c r="L484" s="45">
        <v>23.4</v>
      </c>
      <c r="M484" s="43" t="s">
        <v>721</v>
      </c>
      <c r="N484" s="43">
        <v>2010</v>
      </c>
      <c r="O484" s="43" t="s">
        <v>83</v>
      </c>
      <c r="P484" s="43" t="s">
        <v>126</v>
      </c>
      <c r="Q484" s="43" t="s">
        <v>624</v>
      </c>
      <c r="R484" s="43">
        <v>11</v>
      </c>
      <c r="S484" s="43" t="b">
        <v>0</v>
      </c>
      <c r="T484" s="43" t="b">
        <v>1</v>
      </c>
      <c r="U484" s="45">
        <f t="shared" si="7"/>
        <v>23.4</v>
      </c>
      <c r="V484" s="45">
        <v>0</v>
      </c>
      <c r="W484" s="45">
        <v>23.4</v>
      </c>
    </row>
    <row r="485" spans="4:23" x14ac:dyDescent="0.15">
      <c r="D485" s="40" t="s">
        <v>1186</v>
      </c>
      <c r="E485" s="40" t="s">
        <v>1231</v>
      </c>
      <c r="F485" s="40" t="s">
        <v>1232</v>
      </c>
      <c r="G485" s="40">
        <v>12</v>
      </c>
      <c r="H485" s="41">
        <v>40513.486805555563</v>
      </c>
      <c r="I485" s="40">
        <v>1.25</v>
      </c>
      <c r="J485" s="40">
        <v>14307</v>
      </c>
      <c r="K485" s="40" t="s">
        <v>71</v>
      </c>
      <c r="L485" s="42">
        <v>15</v>
      </c>
      <c r="M485" s="40" t="s">
        <v>721</v>
      </c>
      <c r="N485" s="40">
        <v>2010</v>
      </c>
      <c r="O485" s="40" t="s">
        <v>83</v>
      </c>
      <c r="P485" s="40" t="s">
        <v>126</v>
      </c>
      <c r="Q485" s="40" t="s">
        <v>624</v>
      </c>
      <c r="R485" s="40">
        <v>11</v>
      </c>
      <c r="S485" s="40" t="b">
        <v>0</v>
      </c>
      <c r="T485" s="40" t="b">
        <v>1</v>
      </c>
      <c r="U485" s="42">
        <f t="shared" si="7"/>
        <v>15</v>
      </c>
      <c r="V485" s="42">
        <v>0</v>
      </c>
      <c r="W485" s="42">
        <v>15</v>
      </c>
    </row>
    <row r="486" spans="4:23" x14ac:dyDescent="0.15">
      <c r="D486" s="43" t="s">
        <v>1186</v>
      </c>
      <c r="E486" s="43" t="s">
        <v>997</v>
      </c>
      <c r="F486" s="43" t="s">
        <v>998</v>
      </c>
      <c r="G486" s="43">
        <v>4</v>
      </c>
      <c r="H486" s="44">
        <v>40513.486805555563</v>
      </c>
      <c r="I486" s="43">
        <v>3.75</v>
      </c>
      <c r="J486" s="43">
        <v>14307</v>
      </c>
      <c r="K486" s="43" t="s">
        <v>71</v>
      </c>
      <c r="L486" s="45">
        <v>15</v>
      </c>
      <c r="M486" s="43" t="s">
        <v>721</v>
      </c>
      <c r="N486" s="43">
        <v>2010</v>
      </c>
      <c r="O486" s="43" t="s">
        <v>83</v>
      </c>
      <c r="P486" s="43" t="s">
        <v>126</v>
      </c>
      <c r="Q486" s="43" t="s">
        <v>624</v>
      </c>
      <c r="R486" s="43">
        <v>11</v>
      </c>
      <c r="S486" s="43" t="b">
        <v>0</v>
      </c>
      <c r="T486" s="43" t="b">
        <v>1</v>
      </c>
      <c r="U486" s="45">
        <f t="shared" si="7"/>
        <v>15</v>
      </c>
      <c r="V486" s="45">
        <v>0</v>
      </c>
      <c r="W486" s="45">
        <v>15</v>
      </c>
    </row>
    <row r="487" spans="4:23" x14ac:dyDescent="0.15">
      <c r="D487" s="40" t="s">
        <v>1186</v>
      </c>
      <c r="E487" s="40" t="s">
        <v>1233</v>
      </c>
      <c r="F487" s="40" t="s">
        <v>1234</v>
      </c>
      <c r="G487" s="40">
        <v>12</v>
      </c>
      <c r="H487" s="41">
        <v>40513.486805555563</v>
      </c>
      <c r="I487" s="40">
        <v>1.65</v>
      </c>
      <c r="J487" s="40">
        <v>14307</v>
      </c>
      <c r="K487" s="40" t="s">
        <v>71</v>
      </c>
      <c r="L487" s="42">
        <v>19.8</v>
      </c>
      <c r="M487" s="40" t="s">
        <v>721</v>
      </c>
      <c r="N487" s="40">
        <v>2010</v>
      </c>
      <c r="O487" s="40" t="s">
        <v>83</v>
      </c>
      <c r="P487" s="40" t="s">
        <v>126</v>
      </c>
      <c r="Q487" s="40" t="s">
        <v>624</v>
      </c>
      <c r="R487" s="40">
        <v>11</v>
      </c>
      <c r="S487" s="40" t="b">
        <v>0</v>
      </c>
      <c r="T487" s="40" t="b">
        <v>1</v>
      </c>
      <c r="U487" s="42">
        <f t="shared" si="7"/>
        <v>19.8</v>
      </c>
      <c r="V487" s="42">
        <v>0</v>
      </c>
      <c r="W487" s="42">
        <v>19.8</v>
      </c>
    </row>
    <row r="488" spans="4:23" x14ac:dyDescent="0.15">
      <c r="D488" s="43" t="s">
        <v>1235</v>
      </c>
      <c r="E488" s="43" t="s">
        <v>1236</v>
      </c>
      <c r="F488" s="43" t="s">
        <v>1237</v>
      </c>
      <c r="G488" s="43">
        <v>3</v>
      </c>
      <c r="H488" s="44">
        <v>40513.489583333343</v>
      </c>
      <c r="I488" s="43">
        <v>6.35</v>
      </c>
      <c r="J488" s="43">
        <v>17908</v>
      </c>
      <c r="K488" s="43" t="s">
        <v>71</v>
      </c>
      <c r="L488" s="45">
        <v>19.05</v>
      </c>
      <c r="M488" s="43" t="s">
        <v>721</v>
      </c>
      <c r="N488" s="43">
        <v>2010</v>
      </c>
      <c r="O488" s="43" t="s">
        <v>83</v>
      </c>
      <c r="P488" s="43" t="s">
        <v>126</v>
      </c>
      <c r="Q488" s="43" t="s">
        <v>624</v>
      </c>
      <c r="R488" s="43">
        <v>11</v>
      </c>
      <c r="S488" s="43" t="b">
        <v>0</v>
      </c>
      <c r="T488" s="43" t="b">
        <v>1</v>
      </c>
      <c r="U488" s="45">
        <f t="shared" si="7"/>
        <v>19.05</v>
      </c>
      <c r="V488" s="45">
        <v>0</v>
      </c>
      <c r="W488" s="45">
        <v>19.05</v>
      </c>
    </row>
    <row r="489" spans="4:23" x14ac:dyDescent="0.15">
      <c r="D489" s="40" t="s">
        <v>1235</v>
      </c>
      <c r="E489" s="40" t="s">
        <v>333</v>
      </c>
      <c r="F489" s="40" t="s">
        <v>334</v>
      </c>
      <c r="G489" s="40">
        <v>1</v>
      </c>
      <c r="H489" s="41">
        <v>40513.489583333343</v>
      </c>
      <c r="I489" s="40">
        <v>3.75</v>
      </c>
      <c r="J489" s="40">
        <v>17908</v>
      </c>
      <c r="K489" s="40" t="s">
        <v>71</v>
      </c>
      <c r="L489" s="42">
        <v>3.75</v>
      </c>
      <c r="M489" s="40" t="s">
        <v>721</v>
      </c>
      <c r="N489" s="40">
        <v>2010</v>
      </c>
      <c r="O489" s="40" t="s">
        <v>83</v>
      </c>
      <c r="P489" s="40" t="s">
        <v>126</v>
      </c>
      <c r="Q489" s="40" t="s">
        <v>624</v>
      </c>
      <c r="R489" s="40">
        <v>11</v>
      </c>
      <c r="S489" s="40" t="b">
        <v>0</v>
      </c>
      <c r="T489" s="40" t="b">
        <v>1</v>
      </c>
      <c r="U489" s="42">
        <f t="shared" si="7"/>
        <v>3.75</v>
      </c>
      <c r="V489" s="42">
        <v>0</v>
      </c>
      <c r="W489" s="42">
        <v>3.75</v>
      </c>
    </row>
    <row r="490" spans="4:23" x14ac:dyDescent="0.15">
      <c r="D490" s="43" t="s">
        <v>1235</v>
      </c>
      <c r="E490" s="43" t="s">
        <v>263</v>
      </c>
      <c r="F490" s="43" t="s">
        <v>264</v>
      </c>
      <c r="G490" s="43">
        <v>1</v>
      </c>
      <c r="H490" s="44">
        <v>40513.489583333343</v>
      </c>
      <c r="I490" s="43">
        <v>4.95</v>
      </c>
      <c r="J490" s="43">
        <v>17908</v>
      </c>
      <c r="K490" s="43" t="s">
        <v>71</v>
      </c>
      <c r="L490" s="45">
        <v>4.95</v>
      </c>
      <c r="M490" s="43" t="s">
        <v>721</v>
      </c>
      <c r="N490" s="43">
        <v>2010</v>
      </c>
      <c r="O490" s="43" t="s">
        <v>83</v>
      </c>
      <c r="P490" s="43" t="s">
        <v>126</v>
      </c>
      <c r="Q490" s="43" t="s">
        <v>624</v>
      </c>
      <c r="R490" s="43">
        <v>11</v>
      </c>
      <c r="S490" s="43" t="b">
        <v>0</v>
      </c>
      <c r="T490" s="43" t="b">
        <v>1</v>
      </c>
      <c r="U490" s="45">
        <f t="shared" si="7"/>
        <v>4.95</v>
      </c>
      <c r="V490" s="45">
        <v>0</v>
      </c>
      <c r="W490" s="45">
        <v>4.95</v>
      </c>
    </row>
    <row r="491" spans="4:23" x14ac:dyDescent="0.15">
      <c r="D491" s="40" t="s">
        <v>1235</v>
      </c>
      <c r="E491" s="40" t="s">
        <v>1238</v>
      </c>
      <c r="F491" s="40" t="s">
        <v>1239</v>
      </c>
      <c r="G491" s="40">
        <v>1</v>
      </c>
      <c r="H491" s="41">
        <v>40513.489583333343</v>
      </c>
      <c r="I491" s="40">
        <v>6.75</v>
      </c>
      <c r="J491" s="40">
        <v>17908</v>
      </c>
      <c r="K491" s="40" t="s">
        <v>71</v>
      </c>
      <c r="L491" s="42">
        <v>6.75</v>
      </c>
      <c r="M491" s="40" t="s">
        <v>721</v>
      </c>
      <c r="N491" s="40">
        <v>2010</v>
      </c>
      <c r="O491" s="40" t="s">
        <v>83</v>
      </c>
      <c r="P491" s="40" t="s">
        <v>126</v>
      </c>
      <c r="Q491" s="40" t="s">
        <v>624</v>
      </c>
      <c r="R491" s="40">
        <v>11</v>
      </c>
      <c r="S491" s="40" t="b">
        <v>0</v>
      </c>
      <c r="T491" s="40" t="b">
        <v>1</v>
      </c>
      <c r="U491" s="42">
        <f t="shared" si="7"/>
        <v>6.75</v>
      </c>
      <c r="V491" s="42">
        <v>0</v>
      </c>
      <c r="W491" s="42">
        <v>6.75</v>
      </c>
    </row>
    <row r="492" spans="4:23" x14ac:dyDescent="0.15">
      <c r="D492" s="43" t="s">
        <v>1235</v>
      </c>
      <c r="E492" s="43" t="s">
        <v>1240</v>
      </c>
      <c r="F492" s="43" t="s">
        <v>1241</v>
      </c>
      <c r="G492" s="43">
        <v>1</v>
      </c>
      <c r="H492" s="44">
        <v>40513.489583333343</v>
      </c>
      <c r="I492" s="43">
        <v>1.25</v>
      </c>
      <c r="J492" s="43">
        <v>17908</v>
      </c>
      <c r="K492" s="43" t="s">
        <v>71</v>
      </c>
      <c r="L492" s="45">
        <v>1.25</v>
      </c>
      <c r="M492" s="43" t="s">
        <v>721</v>
      </c>
      <c r="N492" s="43">
        <v>2010</v>
      </c>
      <c r="O492" s="43" t="s">
        <v>83</v>
      </c>
      <c r="P492" s="43" t="s">
        <v>126</v>
      </c>
      <c r="Q492" s="43" t="s">
        <v>624</v>
      </c>
      <c r="R492" s="43">
        <v>11</v>
      </c>
      <c r="S492" s="43" t="b">
        <v>0</v>
      </c>
      <c r="T492" s="43" t="b">
        <v>1</v>
      </c>
      <c r="U492" s="45">
        <f t="shared" si="7"/>
        <v>1.25</v>
      </c>
      <c r="V492" s="45">
        <v>0</v>
      </c>
      <c r="W492" s="45">
        <v>1.25</v>
      </c>
    </row>
    <row r="493" spans="4:23" x14ac:dyDescent="0.15">
      <c r="D493" s="40" t="s">
        <v>1235</v>
      </c>
      <c r="E493" s="40" t="s">
        <v>1242</v>
      </c>
      <c r="F493" s="40" t="s">
        <v>1243</v>
      </c>
      <c r="G493" s="40">
        <v>1</v>
      </c>
      <c r="H493" s="41">
        <v>40513.489583333343</v>
      </c>
      <c r="I493" s="40">
        <v>1.65</v>
      </c>
      <c r="J493" s="40">
        <v>17908</v>
      </c>
      <c r="K493" s="40" t="s">
        <v>71</v>
      </c>
      <c r="L493" s="42">
        <v>1.65</v>
      </c>
      <c r="M493" s="40" t="s">
        <v>721</v>
      </c>
      <c r="N493" s="40">
        <v>2010</v>
      </c>
      <c r="O493" s="40" t="s">
        <v>83</v>
      </c>
      <c r="P493" s="40" t="s">
        <v>126</v>
      </c>
      <c r="Q493" s="40" t="s">
        <v>624</v>
      </c>
      <c r="R493" s="40">
        <v>11</v>
      </c>
      <c r="S493" s="40" t="b">
        <v>0</v>
      </c>
      <c r="T493" s="40" t="b">
        <v>1</v>
      </c>
      <c r="U493" s="42">
        <f t="shared" si="7"/>
        <v>1.65</v>
      </c>
      <c r="V493" s="42">
        <v>0</v>
      </c>
      <c r="W493" s="42">
        <v>1.65</v>
      </c>
    </row>
    <row r="494" spans="4:23" x14ac:dyDescent="0.15">
      <c r="D494" s="43" t="s">
        <v>1235</v>
      </c>
      <c r="E494" s="43" t="s">
        <v>419</v>
      </c>
      <c r="F494" s="43" t="s">
        <v>420</v>
      </c>
      <c r="G494" s="43">
        <v>1</v>
      </c>
      <c r="H494" s="44">
        <v>40513.489583333343</v>
      </c>
      <c r="I494" s="43">
        <v>2.1</v>
      </c>
      <c r="J494" s="43">
        <v>17908</v>
      </c>
      <c r="K494" s="43" t="s">
        <v>71</v>
      </c>
      <c r="L494" s="45">
        <v>2.1</v>
      </c>
      <c r="M494" s="43" t="s">
        <v>721</v>
      </c>
      <c r="N494" s="43">
        <v>2010</v>
      </c>
      <c r="O494" s="43" t="s">
        <v>83</v>
      </c>
      <c r="P494" s="43" t="s">
        <v>126</v>
      </c>
      <c r="Q494" s="43" t="s">
        <v>624</v>
      </c>
      <c r="R494" s="43">
        <v>11</v>
      </c>
      <c r="S494" s="43" t="b">
        <v>0</v>
      </c>
      <c r="T494" s="43" t="b">
        <v>1</v>
      </c>
      <c r="U494" s="45">
        <f t="shared" si="7"/>
        <v>2.1</v>
      </c>
      <c r="V494" s="45">
        <v>0</v>
      </c>
      <c r="W494" s="45">
        <v>2.1</v>
      </c>
    </row>
    <row r="495" spans="4:23" x14ac:dyDescent="0.15">
      <c r="D495" s="40" t="s">
        <v>1235</v>
      </c>
      <c r="E495" s="40" t="s">
        <v>491</v>
      </c>
      <c r="F495" s="40" t="s">
        <v>492</v>
      </c>
      <c r="G495" s="40">
        <v>1</v>
      </c>
      <c r="H495" s="41">
        <v>40513.489583333343</v>
      </c>
      <c r="I495" s="40">
        <v>3.75</v>
      </c>
      <c r="J495" s="40">
        <v>17908</v>
      </c>
      <c r="K495" s="40" t="s">
        <v>71</v>
      </c>
      <c r="L495" s="42">
        <v>3.75</v>
      </c>
      <c r="M495" s="40" t="s">
        <v>721</v>
      </c>
      <c r="N495" s="40">
        <v>2010</v>
      </c>
      <c r="O495" s="40" t="s">
        <v>83</v>
      </c>
      <c r="P495" s="40" t="s">
        <v>126</v>
      </c>
      <c r="Q495" s="40" t="s">
        <v>624</v>
      </c>
      <c r="R495" s="40">
        <v>11</v>
      </c>
      <c r="S495" s="40" t="b">
        <v>0</v>
      </c>
      <c r="T495" s="40" t="b">
        <v>1</v>
      </c>
      <c r="U495" s="42">
        <f t="shared" si="7"/>
        <v>3.75</v>
      </c>
      <c r="V495" s="42">
        <v>0</v>
      </c>
      <c r="W495" s="42">
        <v>3.75</v>
      </c>
    </row>
    <row r="496" spans="4:23" x14ac:dyDescent="0.15">
      <c r="D496" s="43" t="s">
        <v>1235</v>
      </c>
      <c r="E496" s="43" t="s">
        <v>1244</v>
      </c>
      <c r="F496" s="43" t="s">
        <v>1245</v>
      </c>
      <c r="G496" s="43">
        <v>1</v>
      </c>
      <c r="H496" s="44">
        <v>40513.489583333343</v>
      </c>
      <c r="I496" s="43">
        <v>2.1</v>
      </c>
      <c r="J496" s="43">
        <v>17908</v>
      </c>
      <c r="K496" s="43" t="s">
        <v>71</v>
      </c>
      <c r="L496" s="45">
        <v>2.1</v>
      </c>
      <c r="M496" s="43" t="s">
        <v>721</v>
      </c>
      <c r="N496" s="43">
        <v>2010</v>
      </c>
      <c r="O496" s="43" t="s">
        <v>83</v>
      </c>
      <c r="P496" s="43" t="s">
        <v>126</v>
      </c>
      <c r="Q496" s="43" t="s">
        <v>624</v>
      </c>
      <c r="R496" s="43">
        <v>11</v>
      </c>
      <c r="S496" s="43" t="b">
        <v>0</v>
      </c>
      <c r="T496" s="43" t="b">
        <v>1</v>
      </c>
      <c r="U496" s="45">
        <f t="shared" si="7"/>
        <v>2.1</v>
      </c>
      <c r="V496" s="45">
        <v>0</v>
      </c>
      <c r="W496" s="45">
        <v>2.1</v>
      </c>
    </row>
    <row r="497" spans="4:23" x14ac:dyDescent="0.15">
      <c r="D497" s="40" t="s">
        <v>1235</v>
      </c>
      <c r="E497" s="40" t="s">
        <v>1246</v>
      </c>
      <c r="F497" s="40" t="s">
        <v>1247</v>
      </c>
      <c r="G497" s="40">
        <v>1</v>
      </c>
      <c r="H497" s="41">
        <v>40513.489583333343</v>
      </c>
      <c r="I497" s="40">
        <v>2.1</v>
      </c>
      <c r="J497" s="40">
        <v>17908</v>
      </c>
      <c r="K497" s="40" t="s">
        <v>71</v>
      </c>
      <c r="L497" s="42">
        <v>2.1</v>
      </c>
      <c r="M497" s="40" t="s">
        <v>721</v>
      </c>
      <c r="N497" s="40">
        <v>2010</v>
      </c>
      <c r="O497" s="40" t="s">
        <v>83</v>
      </c>
      <c r="P497" s="40" t="s">
        <v>126</v>
      </c>
      <c r="Q497" s="40" t="s">
        <v>624</v>
      </c>
      <c r="R497" s="40">
        <v>11</v>
      </c>
      <c r="S497" s="40" t="b">
        <v>0</v>
      </c>
      <c r="T497" s="40" t="b">
        <v>1</v>
      </c>
      <c r="U497" s="42">
        <f t="shared" si="7"/>
        <v>2.1</v>
      </c>
      <c r="V497" s="42">
        <v>0</v>
      </c>
      <c r="W497" s="42">
        <v>2.1</v>
      </c>
    </row>
    <row r="498" spans="4:23" x14ac:dyDescent="0.15">
      <c r="D498" s="43" t="s">
        <v>1235</v>
      </c>
      <c r="E498" s="43" t="s">
        <v>1248</v>
      </c>
      <c r="F498" s="43" t="s">
        <v>1249</v>
      </c>
      <c r="G498" s="43">
        <v>1</v>
      </c>
      <c r="H498" s="44">
        <v>40513.489583333343</v>
      </c>
      <c r="I498" s="43">
        <v>2.95</v>
      </c>
      <c r="J498" s="43">
        <v>17908</v>
      </c>
      <c r="K498" s="43" t="s">
        <v>71</v>
      </c>
      <c r="L498" s="45">
        <v>2.95</v>
      </c>
      <c r="M498" s="43" t="s">
        <v>721</v>
      </c>
      <c r="N498" s="43">
        <v>2010</v>
      </c>
      <c r="O498" s="43" t="s">
        <v>83</v>
      </c>
      <c r="P498" s="43" t="s">
        <v>126</v>
      </c>
      <c r="Q498" s="43" t="s">
        <v>624</v>
      </c>
      <c r="R498" s="43">
        <v>11</v>
      </c>
      <c r="S498" s="43" t="b">
        <v>0</v>
      </c>
      <c r="T498" s="43" t="b">
        <v>1</v>
      </c>
      <c r="U498" s="45">
        <f t="shared" si="7"/>
        <v>2.95</v>
      </c>
      <c r="V498" s="45">
        <v>0</v>
      </c>
      <c r="W498" s="45">
        <v>2.95</v>
      </c>
    </row>
    <row r="499" spans="4:23" x14ac:dyDescent="0.15">
      <c r="D499" s="40" t="s">
        <v>1235</v>
      </c>
      <c r="E499" s="40" t="s">
        <v>1250</v>
      </c>
      <c r="F499" s="40" t="s">
        <v>1251</v>
      </c>
      <c r="G499" s="40">
        <v>1</v>
      </c>
      <c r="H499" s="41">
        <v>40513.489583333343</v>
      </c>
      <c r="I499" s="40">
        <v>1.25</v>
      </c>
      <c r="J499" s="40">
        <v>17908</v>
      </c>
      <c r="K499" s="40" t="s">
        <v>71</v>
      </c>
      <c r="L499" s="42">
        <v>1.25</v>
      </c>
      <c r="M499" s="40" t="s">
        <v>721</v>
      </c>
      <c r="N499" s="40">
        <v>2010</v>
      </c>
      <c r="O499" s="40" t="s">
        <v>83</v>
      </c>
      <c r="P499" s="40" t="s">
        <v>126</v>
      </c>
      <c r="Q499" s="40" t="s">
        <v>624</v>
      </c>
      <c r="R499" s="40">
        <v>11</v>
      </c>
      <c r="S499" s="40" t="b">
        <v>0</v>
      </c>
      <c r="T499" s="40" t="b">
        <v>1</v>
      </c>
      <c r="U499" s="42">
        <f t="shared" si="7"/>
        <v>1.25</v>
      </c>
      <c r="V499" s="42">
        <v>0</v>
      </c>
      <c r="W499" s="42">
        <v>1.25</v>
      </c>
    </row>
    <row r="500" spans="4:23" x14ac:dyDescent="0.15">
      <c r="D500" s="43" t="s">
        <v>1235</v>
      </c>
      <c r="E500" s="43" t="s">
        <v>1252</v>
      </c>
      <c r="F500" s="43" t="s">
        <v>1253</v>
      </c>
      <c r="G500" s="43">
        <v>1</v>
      </c>
      <c r="H500" s="44">
        <v>40513.489583333343</v>
      </c>
      <c r="I500" s="43">
        <v>1.25</v>
      </c>
      <c r="J500" s="43">
        <v>17908</v>
      </c>
      <c r="K500" s="43" t="s">
        <v>71</v>
      </c>
      <c r="L500" s="45">
        <v>1.25</v>
      </c>
      <c r="M500" s="43" t="s">
        <v>721</v>
      </c>
      <c r="N500" s="43">
        <v>2010</v>
      </c>
      <c r="O500" s="43" t="s">
        <v>83</v>
      </c>
      <c r="P500" s="43" t="s">
        <v>126</v>
      </c>
      <c r="Q500" s="43" t="s">
        <v>624</v>
      </c>
      <c r="R500" s="43">
        <v>11</v>
      </c>
      <c r="S500" s="43" t="b">
        <v>0</v>
      </c>
      <c r="T500" s="43" t="b">
        <v>1</v>
      </c>
      <c r="U500" s="45">
        <f t="shared" si="7"/>
        <v>1.25</v>
      </c>
      <c r="V500" s="45">
        <v>0</v>
      </c>
      <c r="W500" s="45">
        <v>1.25</v>
      </c>
    </row>
    <row r="501" spans="4:23" x14ac:dyDescent="0.15">
      <c r="D501" s="40" t="s">
        <v>1235</v>
      </c>
      <c r="E501" s="40" t="s">
        <v>1254</v>
      </c>
      <c r="F501" s="40" t="s">
        <v>1255</v>
      </c>
      <c r="G501" s="40">
        <v>1</v>
      </c>
      <c r="H501" s="41">
        <v>40513.489583333343</v>
      </c>
      <c r="I501" s="40">
        <v>2.95</v>
      </c>
      <c r="J501" s="40">
        <v>17908</v>
      </c>
      <c r="K501" s="40" t="s">
        <v>71</v>
      </c>
      <c r="L501" s="42">
        <v>2.95</v>
      </c>
      <c r="M501" s="40" t="s">
        <v>721</v>
      </c>
      <c r="N501" s="40">
        <v>2010</v>
      </c>
      <c r="O501" s="40" t="s">
        <v>83</v>
      </c>
      <c r="P501" s="40" t="s">
        <v>126</v>
      </c>
      <c r="Q501" s="40" t="s">
        <v>624</v>
      </c>
      <c r="R501" s="40">
        <v>11</v>
      </c>
      <c r="S501" s="40" t="b">
        <v>0</v>
      </c>
      <c r="T501" s="40" t="b">
        <v>1</v>
      </c>
      <c r="U501" s="42">
        <f t="shared" si="7"/>
        <v>2.95</v>
      </c>
      <c r="V501" s="42">
        <v>0</v>
      </c>
      <c r="W501" s="42">
        <v>2.95</v>
      </c>
    </row>
    <row r="502" spans="4:23" x14ac:dyDescent="0.15">
      <c r="D502" s="43" t="s">
        <v>1235</v>
      </c>
      <c r="E502" s="43" t="s">
        <v>1256</v>
      </c>
      <c r="F502" s="43" t="s">
        <v>1257</v>
      </c>
      <c r="G502" s="43">
        <v>1</v>
      </c>
      <c r="H502" s="44">
        <v>40513.489583333343</v>
      </c>
      <c r="I502" s="43">
        <v>2.95</v>
      </c>
      <c r="J502" s="43">
        <v>17908</v>
      </c>
      <c r="K502" s="43" t="s">
        <v>71</v>
      </c>
      <c r="L502" s="45">
        <v>2.95</v>
      </c>
      <c r="M502" s="43" t="s">
        <v>721</v>
      </c>
      <c r="N502" s="43">
        <v>2010</v>
      </c>
      <c r="O502" s="43" t="s">
        <v>83</v>
      </c>
      <c r="P502" s="43" t="s">
        <v>126</v>
      </c>
      <c r="Q502" s="43" t="s">
        <v>624</v>
      </c>
      <c r="R502" s="43">
        <v>11</v>
      </c>
      <c r="S502" s="43" t="b">
        <v>0</v>
      </c>
      <c r="T502" s="43" t="b">
        <v>1</v>
      </c>
      <c r="U502" s="45">
        <f t="shared" si="7"/>
        <v>2.95</v>
      </c>
      <c r="V502" s="45">
        <v>0</v>
      </c>
      <c r="W502" s="45">
        <v>2.95</v>
      </c>
    </row>
    <row r="503" spans="4:23" x14ac:dyDescent="0.15">
      <c r="D503" s="40" t="s">
        <v>1235</v>
      </c>
      <c r="E503" s="40" t="s">
        <v>1236</v>
      </c>
      <c r="F503" s="40" t="s">
        <v>1237</v>
      </c>
      <c r="G503" s="40">
        <v>1</v>
      </c>
      <c r="H503" s="41">
        <v>40513.489583333343</v>
      </c>
      <c r="I503" s="40">
        <v>6.35</v>
      </c>
      <c r="J503" s="40">
        <v>17908</v>
      </c>
      <c r="K503" s="40" t="s">
        <v>71</v>
      </c>
      <c r="L503" s="42">
        <v>6.35</v>
      </c>
      <c r="M503" s="40" t="s">
        <v>721</v>
      </c>
      <c r="N503" s="40">
        <v>2010</v>
      </c>
      <c r="O503" s="40" t="s">
        <v>83</v>
      </c>
      <c r="P503" s="40" t="s">
        <v>126</v>
      </c>
      <c r="Q503" s="40" t="s">
        <v>624</v>
      </c>
      <c r="R503" s="40">
        <v>11</v>
      </c>
      <c r="S503" s="40" t="b">
        <v>0</v>
      </c>
      <c r="T503" s="40" t="b">
        <v>1</v>
      </c>
      <c r="U503" s="42">
        <f t="shared" si="7"/>
        <v>6.35</v>
      </c>
      <c r="V503" s="42">
        <v>0</v>
      </c>
      <c r="W503" s="42">
        <v>6.35</v>
      </c>
    </row>
    <row r="504" spans="4:23" x14ac:dyDescent="0.15">
      <c r="D504" s="43" t="s">
        <v>1235</v>
      </c>
      <c r="E504" s="43" t="s">
        <v>1258</v>
      </c>
      <c r="F504" s="43" t="s">
        <v>1259</v>
      </c>
      <c r="G504" s="43">
        <v>1</v>
      </c>
      <c r="H504" s="44">
        <v>40513.489583333343</v>
      </c>
      <c r="I504" s="43">
        <v>7.95</v>
      </c>
      <c r="J504" s="43">
        <v>17908</v>
      </c>
      <c r="K504" s="43" t="s">
        <v>71</v>
      </c>
      <c r="L504" s="45">
        <v>7.95</v>
      </c>
      <c r="M504" s="43" t="s">
        <v>721</v>
      </c>
      <c r="N504" s="43">
        <v>2010</v>
      </c>
      <c r="O504" s="43" t="s">
        <v>83</v>
      </c>
      <c r="P504" s="43" t="s">
        <v>126</v>
      </c>
      <c r="Q504" s="43" t="s">
        <v>624</v>
      </c>
      <c r="R504" s="43">
        <v>11</v>
      </c>
      <c r="S504" s="43" t="b">
        <v>0</v>
      </c>
      <c r="T504" s="43" t="b">
        <v>1</v>
      </c>
      <c r="U504" s="45">
        <f t="shared" si="7"/>
        <v>7.95</v>
      </c>
      <c r="V504" s="45">
        <v>0</v>
      </c>
      <c r="W504" s="45">
        <v>7.95</v>
      </c>
    </row>
    <row r="505" spans="4:23" x14ac:dyDescent="0.15">
      <c r="D505" s="40" t="s">
        <v>1235</v>
      </c>
      <c r="E505" s="40" t="s">
        <v>1260</v>
      </c>
      <c r="F505" s="40" t="s">
        <v>1261</v>
      </c>
      <c r="G505" s="40">
        <v>1</v>
      </c>
      <c r="H505" s="41">
        <v>40513.489583333343</v>
      </c>
      <c r="I505" s="40">
        <v>4.25</v>
      </c>
      <c r="J505" s="40">
        <v>17908</v>
      </c>
      <c r="K505" s="40" t="s">
        <v>71</v>
      </c>
      <c r="L505" s="42">
        <v>4.25</v>
      </c>
      <c r="M505" s="40" t="s">
        <v>721</v>
      </c>
      <c r="N505" s="40">
        <v>2010</v>
      </c>
      <c r="O505" s="40" t="s">
        <v>83</v>
      </c>
      <c r="P505" s="40" t="s">
        <v>126</v>
      </c>
      <c r="Q505" s="40" t="s">
        <v>624</v>
      </c>
      <c r="R505" s="40">
        <v>11</v>
      </c>
      <c r="S505" s="40" t="b">
        <v>0</v>
      </c>
      <c r="T505" s="40" t="b">
        <v>1</v>
      </c>
      <c r="U505" s="42">
        <f t="shared" si="7"/>
        <v>4.25</v>
      </c>
      <c r="V505" s="42">
        <v>0</v>
      </c>
      <c r="W505" s="42">
        <v>4.25</v>
      </c>
    </row>
    <row r="506" spans="4:23" x14ac:dyDescent="0.15">
      <c r="D506" s="43" t="s">
        <v>1235</v>
      </c>
      <c r="E506" s="43" t="s">
        <v>1262</v>
      </c>
      <c r="F506" s="43" t="s">
        <v>1263</v>
      </c>
      <c r="G506" s="43">
        <v>1</v>
      </c>
      <c r="H506" s="44">
        <v>40513.489583333343</v>
      </c>
      <c r="I506" s="43">
        <v>3.75</v>
      </c>
      <c r="J506" s="43">
        <v>17908</v>
      </c>
      <c r="K506" s="43" t="s">
        <v>71</v>
      </c>
      <c r="L506" s="45">
        <v>3.75</v>
      </c>
      <c r="M506" s="43" t="s">
        <v>721</v>
      </c>
      <c r="N506" s="43">
        <v>2010</v>
      </c>
      <c r="O506" s="43" t="s">
        <v>83</v>
      </c>
      <c r="P506" s="43" t="s">
        <v>126</v>
      </c>
      <c r="Q506" s="43" t="s">
        <v>624</v>
      </c>
      <c r="R506" s="43">
        <v>11</v>
      </c>
      <c r="S506" s="43" t="b">
        <v>0</v>
      </c>
      <c r="T506" s="43" t="b">
        <v>1</v>
      </c>
      <c r="U506" s="45">
        <f t="shared" si="7"/>
        <v>3.75</v>
      </c>
      <c r="V506" s="45">
        <v>0</v>
      </c>
      <c r="W506" s="45">
        <v>3.75</v>
      </c>
    </row>
    <row r="507" spans="4:23" x14ac:dyDescent="0.15">
      <c r="D507" s="40" t="s">
        <v>1235</v>
      </c>
      <c r="E507" s="40" t="s">
        <v>1244</v>
      </c>
      <c r="F507" s="40" t="s">
        <v>1245</v>
      </c>
      <c r="G507" s="40">
        <v>5</v>
      </c>
      <c r="H507" s="41">
        <v>40513.489583333343</v>
      </c>
      <c r="I507" s="40">
        <v>2.1</v>
      </c>
      <c r="J507" s="40">
        <v>17908</v>
      </c>
      <c r="K507" s="40" t="s">
        <v>71</v>
      </c>
      <c r="L507" s="42">
        <v>10.5</v>
      </c>
      <c r="M507" s="40" t="s">
        <v>721</v>
      </c>
      <c r="N507" s="40">
        <v>2010</v>
      </c>
      <c r="O507" s="40" t="s">
        <v>83</v>
      </c>
      <c r="P507" s="40" t="s">
        <v>126</v>
      </c>
      <c r="Q507" s="40" t="s">
        <v>624</v>
      </c>
      <c r="R507" s="40">
        <v>11</v>
      </c>
      <c r="S507" s="40" t="b">
        <v>0</v>
      </c>
      <c r="T507" s="40" t="b">
        <v>1</v>
      </c>
      <c r="U507" s="42">
        <f t="shared" si="7"/>
        <v>10.5</v>
      </c>
      <c r="V507" s="42">
        <v>0</v>
      </c>
      <c r="W507" s="42">
        <v>10.5</v>
      </c>
    </row>
    <row r="508" spans="4:23" x14ac:dyDescent="0.15">
      <c r="D508" s="43" t="s">
        <v>1235</v>
      </c>
      <c r="E508" s="43" t="s">
        <v>1264</v>
      </c>
      <c r="F508" s="43" t="s">
        <v>1265</v>
      </c>
      <c r="G508" s="43">
        <v>1</v>
      </c>
      <c r="H508" s="44">
        <v>40513.489583333343</v>
      </c>
      <c r="I508" s="43">
        <v>0.42</v>
      </c>
      <c r="J508" s="43">
        <v>17908</v>
      </c>
      <c r="K508" s="43" t="s">
        <v>71</v>
      </c>
      <c r="L508" s="45">
        <v>0.42</v>
      </c>
      <c r="M508" s="43" t="s">
        <v>721</v>
      </c>
      <c r="N508" s="43">
        <v>2010</v>
      </c>
      <c r="O508" s="43" t="s">
        <v>83</v>
      </c>
      <c r="P508" s="43" t="s">
        <v>126</v>
      </c>
      <c r="Q508" s="43" t="s">
        <v>624</v>
      </c>
      <c r="R508" s="43">
        <v>11</v>
      </c>
      <c r="S508" s="43" t="b">
        <v>0</v>
      </c>
      <c r="T508" s="43" t="b">
        <v>1</v>
      </c>
      <c r="U508" s="45">
        <f t="shared" si="7"/>
        <v>0.42</v>
      </c>
      <c r="V508" s="45">
        <v>0</v>
      </c>
      <c r="W508" s="45">
        <v>0.42</v>
      </c>
    </row>
    <row r="509" spans="4:23" x14ac:dyDescent="0.15">
      <c r="D509" s="40" t="s">
        <v>1235</v>
      </c>
      <c r="E509" s="40" t="s">
        <v>1266</v>
      </c>
      <c r="F509" s="40" t="s">
        <v>1267</v>
      </c>
      <c r="G509" s="40">
        <v>1</v>
      </c>
      <c r="H509" s="41">
        <v>40513.489583333343</v>
      </c>
      <c r="I509" s="40">
        <v>1.25</v>
      </c>
      <c r="J509" s="40">
        <v>17908</v>
      </c>
      <c r="K509" s="40" t="s">
        <v>71</v>
      </c>
      <c r="L509" s="42">
        <v>1.25</v>
      </c>
      <c r="M509" s="40" t="s">
        <v>721</v>
      </c>
      <c r="N509" s="40">
        <v>2010</v>
      </c>
      <c r="O509" s="40" t="s">
        <v>83</v>
      </c>
      <c r="P509" s="40" t="s">
        <v>126</v>
      </c>
      <c r="Q509" s="40" t="s">
        <v>624</v>
      </c>
      <c r="R509" s="40">
        <v>11</v>
      </c>
      <c r="S509" s="40" t="b">
        <v>0</v>
      </c>
      <c r="T509" s="40" t="b">
        <v>1</v>
      </c>
      <c r="U509" s="42">
        <f t="shared" si="7"/>
        <v>1.25</v>
      </c>
      <c r="V509" s="42">
        <v>0</v>
      </c>
      <c r="W509" s="42">
        <v>1.25</v>
      </c>
    </row>
    <row r="510" spans="4:23" x14ac:dyDescent="0.15">
      <c r="D510" s="43" t="s">
        <v>1235</v>
      </c>
      <c r="E510" s="43" t="s">
        <v>1268</v>
      </c>
      <c r="F510" s="43" t="s">
        <v>1269</v>
      </c>
      <c r="G510" s="43">
        <v>1</v>
      </c>
      <c r="H510" s="44">
        <v>40513.489583333343</v>
      </c>
      <c r="I510" s="43">
        <v>6.75</v>
      </c>
      <c r="J510" s="43">
        <v>17908</v>
      </c>
      <c r="K510" s="43" t="s">
        <v>71</v>
      </c>
      <c r="L510" s="45">
        <v>6.75</v>
      </c>
      <c r="M510" s="43" t="s">
        <v>721</v>
      </c>
      <c r="N510" s="43">
        <v>2010</v>
      </c>
      <c r="O510" s="43" t="s">
        <v>83</v>
      </c>
      <c r="P510" s="43" t="s">
        <v>126</v>
      </c>
      <c r="Q510" s="43" t="s">
        <v>624</v>
      </c>
      <c r="R510" s="43">
        <v>11</v>
      </c>
      <c r="S510" s="43" t="b">
        <v>0</v>
      </c>
      <c r="T510" s="43" t="b">
        <v>1</v>
      </c>
      <c r="U510" s="45">
        <f t="shared" si="7"/>
        <v>6.75</v>
      </c>
      <c r="V510" s="45">
        <v>0</v>
      </c>
      <c r="W510" s="45">
        <v>6.75</v>
      </c>
    </row>
    <row r="511" spans="4:23" x14ac:dyDescent="0.15">
      <c r="D511" s="40" t="s">
        <v>1235</v>
      </c>
      <c r="E511" s="40" t="s">
        <v>1270</v>
      </c>
      <c r="F511" s="40" t="s">
        <v>1271</v>
      </c>
      <c r="G511" s="40">
        <v>6</v>
      </c>
      <c r="H511" s="41">
        <v>40513.489583333343</v>
      </c>
      <c r="I511" s="40">
        <v>0.85</v>
      </c>
      <c r="J511" s="40">
        <v>17908</v>
      </c>
      <c r="K511" s="40" t="s">
        <v>71</v>
      </c>
      <c r="L511" s="42">
        <v>5.0999999999999996</v>
      </c>
      <c r="M511" s="40" t="s">
        <v>721</v>
      </c>
      <c r="N511" s="40">
        <v>2010</v>
      </c>
      <c r="O511" s="40" t="s">
        <v>83</v>
      </c>
      <c r="P511" s="40" t="s">
        <v>126</v>
      </c>
      <c r="Q511" s="40" t="s">
        <v>624</v>
      </c>
      <c r="R511" s="40">
        <v>11</v>
      </c>
      <c r="S511" s="40" t="b">
        <v>0</v>
      </c>
      <c r="T511" s="40" t="b">
        <v>1</v>
      </c>
      <c r="U511" s="42">
        <f t="shared" si="7"/>
        <v>5.0999999999999996</v>
      </c>
      <c r="V511" s="42">
        <v>0</v>
      </c>
      <c r="W511" s="42">
        <v>5.0999999999999996</v>
      </c>
    </row>
    <row r="512" spans="4:23" x14ac:dyDescent="0.15">
      <c r="D512" s="43" t="s">
        <v>1235</v>
      </c>
      <c r="E512" s="43" t="s">
        <v>1272</v>
      </c>
      <c r="F512" s="43" t="s">
        <v>1273</v>
      </c>
      <c r="G512" s="43">
        <v>6</v>
      </c>
      <c r="H512" s="44">
        <v>40513.489583333343</v>
      </c>
      <c r="I512" s="43">
        <v>0.85</v>
      </c>
      <c r="J512" s="43">
        <v>17908</v>
      </c>
      <c r="K512" s="43" t="s">
        <v>71</v>
      </c>
      <c r="L512" s="45">
        <v>5.0999999999999996</v>
      </c>
      <c r="M512" s="43" t="s">
        <v>721</v>
      </c>
      <c r="N512" s="43">
        <v>2010</v>
      </c>
      <c r="O512" s="43" t="s">
        <v>83</v>
      </c>
      <c r="P512" s="43" t="s">
        <v>126</v>
      </c>
      <c r="Q512" s="43" t="s">
        <v>624</v>
      </c>
      <c r="R512" s="43">
        <v>11</v>
      </c>
      <c r="S512" s="43" t="b">
        <v>0</v>
      </c>
      <c r="T512" s="43" t="b">
        <v>1</v>
      </c>
      <c r="U512" s="45">
        <f t="shared" si="7"/>
        <v>5.0999999999999996</v>
      </c>
      <c r="V512" s="45">
        <v>0</v>
      </c>
      <c r="W512" s="45">
        <v>5.0999999999999996</v>
      </c>
    </row>
    <row r="513" spans="4:23" x14ac:dyDescent="0.15">
      <c r="D513" s="40" t="s">
        <v>1235</v>
      </c>
      <c r="E513" s="40" t="s">
        <v>1133</v>
      </c>
      <c r="F513" s="40" t="s">
        <v>1134</v>
      </c>
      <c r="G513" s="40">
        <v>1</v>
      </c>
      <c r="H513" s="41">
        <v>40513.489583333343</v>
      </c>
      <c r="I513" s="40">
        <v>2.95</v>
      </c>
      <c r="J513" s="40">
        <v>17908</v>
      </c>
      <c r="K513" s="40" t="s">
        <v>71</v>
      </c>
      <c r="L513" s="42">
        <v>2.95</v>
      </c>
      <c r="M513" s="40" t="s">
        <v>721</v>
      </c>
      <c r="N513" s="40">
        <v>2010</v>
      </c>
      <c r="O513" s="40" t="s">
        <v>83</v>
      </c>
      <c r="P513" s="40" t="s">
        <v>126</v>
      </c>
      <c r="Q513" s="40" t="s">
        <v>624</v>
      </c>
      <c r="R513" s="40">
        <v>11</v>
      </c>
      <c r="S513" s="40" t="b">
        <v>0</v>
      </c>
      <c r="T513" s="40" t="b">
        <v>1</v>
      </c>
      <c r="U513" s="42">
        <f t="shared" si="7"/>
        <v>2.95</v>
      </c>
      <c r="V513" s="42">
        <v>0</v>
      </c>
      <c r="W513" s="42">
        <v>2.95</v>
      </c>
    </row>
    <row r="514" spans="4:23" x14ac:dyDescent="0.15">
      <c r="D514" s="43" t="s">
        <v>1235</v>
      </c>
      <c r="E514" s="43" t="s">
        <v>1131</v>
      </c>
      <c r="F514" s="43" t="s">
        <v>1132</v>
      </c>
      <c r="G514" s="43">
        <v>3</v>
      </c>
      <c r="H514" s="44">
        <v>40513.489583333343</v>
      </c>
      <c r="I514" s="43">
        <v>2.95</v>
      </c>
      <c r="J514" s="43">
        <v>17908</v>
      </c>
      <c r="K514" s="43" t="s">
        <v>71</v>
      </c>
      <c r="L514" s="45">
        <v>8.8500000000000014</v>
      </c>
      <c r="M514" s="43" t="s">
        <v>721</v>
      </c>
      <c r="N514" s="43">
        <v>2010</v>
      </c>
      <c r="O514" s="43" t="s">
        <v>83</v>
      </c>
      <c r="P514" s="43" t="s">
        <v>126</v>
      </c>
      <c r="Q514" s="43" t="s">
        <v>624</v>
      </c>
      <c r="R514" s="43">
        <v>11</v>
      </c>
      <c r="S514" s="43" t="b">
        <v>0</v>
      </c>
      <c r="T514" s="43" t="b">
        <v>1</v>
      </c>
      <c r="U514" s="45">
        <f t="shared" si="7"/>
        <v>8.8500000000000014</v>
      </c>
      <c r="V514" s="45">
        <v>0</v>
      </c>
      <c r="W514" s="45">
        <v>8.8500000000000014</v>
      </c>
    </row>
    <row r="515" spans="4:23" x14ac:dyDescent="0.15">
      <c r="D515" s="40" t="s">
        <v>1235</v>
      </c>
      <c r="E515" s="40" t="s">
        <v>215</v>
      </c>
      <c r="F515" s="40" t="s">
        <v>216</v>
      </c>
      <c r="G515" s="40">
        <v>2</v>
      </c>
      <c r="H515" s="41">
        <v>40513.489583333343</v>
      </c>
      <c r="I515" s="40">
        <v>1.95</v>
      </c>
      <c r="J515" s="40">
        <v>17908</v>
      </c>
      <c r="K515" s="40" t="s">
        <v>71</v>
      </c>
      <c r="L515" s="42">
        <v>3.9</v>
      </c>
      <c r="M515" s="40" t="s">
        <v>721</v>
      </c>
      <c r="N515" s="40">
        <v>2010</v>
      </c>
      <c r="O515" s="40" t="s">
        <v>83</v>
      </c>
      <c r="P515" s="40" t="s">
        <v>126</v>
      </c>
      <c r="Q515" s="40" t="s">
        <v>624</v>
      </c>
      <c r="R515" s="40">
        <v>11</v>
      </c>
      <c r="S515" s="40" t="b">
        <v>0</v>
      </c>
      <c r="T515" s="40" t="b">
        <v>1</v>
      </c>
      <c r="U515" s="42">
        <f t="shared" si="7"/>
        <v>3.9</v>
      </c>
      <c r="V515" s="42">
        <v>0</v>
      </c>
      <c r="W515" s="42">
        <v>3.9</v>
      </c>
    </row>
    <row r="516" spans="4:23" x14ac:dyDescent="0.15">
      <c r="D516" s="43" t="s">
        <v>1235</v>
      </c>
      <c r="E516" s="43" t="s">
        <v>1274</v>
      </c>
      <c r="F516" s="43" t="s">
        <v>1275</v>
      </c>
      <c r="G516" s="43">
        <v>12</v>
      </c>
      <c r="H516" s="44">
        <v>40513.489583333343</v>
      </c>
      <c r="I516" s="43">
        <v>1.25</v>
      </c>
      <c r="J516" s="43">
        <v>17908</v>
      </c>
      <c r="K516" s="43" t="s">
        <v>71</v>
      </c>
      <c r="L516" s="45">
        <v>15</v>
      </c>
      <c r="M516" s="43" t="s">
        <v>721</v>
      </c>
      <c r="N516" s="43">
        <v>2010</v>
      </c>
      <c r="O516" s="43" t="s">
        <v>83</v>
      </c>
      <c r="P516" s="43" t="s">
        <v>126</v>
      </c>
      <c r="Q516" s="43" t="s">
        <v>624</v>
      </c>
      <c r="R516" s="43">
        <v>11</v>
      </c>
      <c r="S516" s="43" t="b">
        <v>0</v>
      </c>
      <c r="T516" s="43" t="b">
        <v>1</v>
      </c>
      <c r="U516" s="45">
        <f t="shared" si="7"/>
        <v>15</v>
      </c>
      <c r="V516" s="45">
        <v>0</v>
      </c>
      <c r="W516" s="45">
        <v>15</v>
      </c>
    </row>
    <row r="517" spans="4:23" x14ac:dyDescent="0.15">
      <c r="D517" s="40" t="s">
        <v>1235</v>
      </c>
      <c r="E517" s="40" t="s">
        <v>1276</v>
      </c>
      <c r="F517" s="40" t="s">
        <v>1277</v>
      </c>
      <c r="G517" s="40">
        <v>28</v>
      </c>
      <c r="H517" s="41">
        <v>40513.489583333343</v>
      </c>
      <c r="I517" s="40">
        <v>0.21</v>
      </c>
      <c r="J517" s="40">
        <v>17908</v>
      </c>
      <c r="K517" s="40" t="s">
        <v>71</v>
      </c>
      <c r="L517" s="42">
        <v>5.88</v>
      </c>
      <c r="M517" s="40" t="s">
        <v>721</v>
      </c>
      <c r="N517" s="40">
        <v>2010</v>
      </c>
      <c r="O517" s="40" t="s">
        <v>83</v>
      </c>
      <c r="P517" s="40" t="s">
        <v>126</v>
      </c>
      <c r="Q517" s="40" t="s">
        <v>624</v>
      </c>
      <c r="R517" s="40">
        <v>11</v>
      </c>
      <c r="S517" s="40" t="b">
        <v>0</v>
      </c>
      <c r="T517" s="40" t="b">
        <v>1</v>
      </c>
      <c r="U517" s="42">
        <f t="shared" ref="U517:U580" si="8">IF(T517,L517,0)</f>
        <v>5.88</v>
      </c>
      <c r="V517" s="42">
        <v>0</v>
      </c>
      <c r="W517" s="42">
        <v>5.88</v>
      </c>
    </row>
    <row r="518" spans="4:23" x14ac:dyDescent="0.15">
      <c r="D518" s="43" t="s">
        <v>1235</v>
      </c>
      <c r="E518" s="43" t="s">
        <v>965</v>
      </c>
      <c r="F518" s="43" t="s">
        <v>966</v>
      </c>
      <c r="G518" s="43">
        <v>24</v>
      </c>
      <c r="H518" s="44">
        <v>40513.489583333343</v>
      </c>
      <c r="I518" s="43">
        <v>0.12</v>
      </c>
      <c r="J518" s="43">
        <v>17908</v>
      </c>
      <c r="K518" s="43" t="s">
        <v>71</v>
      </c>
      <c r="L518" s="45">
        <v>2.88</v>
      </c>
      <c r="M518" s="43" t="s">
        <v>721</v>
      </c>
      <c r="N518" s="43">
        <v>2010</v>
      </c>
      <c r="O518" s="43" t="s">
        <v>83</v>
      </c>
      <c r="P518" s="43" t="s">
        <v>126</v>
      </c>
      <c r="Q518" s="43" t="s">
        <v>624</v>
      </c>
      <c r="R518" s="43">
        <v>11</v>
      </c>
      <c r="S518" s="43" t="b">
        <v>0</v>
      </c>
      <c r="T518" s="43" t="b">
        <v>1</v>
      </c>
      <c r="U518" s="45">
        <f t="shared" si="8"/>
        <v>2.88</v>
      </c>
      <c r="V518" s="45">
        <v>0</v>
      </c>
      <c r="W518" s="45">
        <v>2.88</v>
      </c>
    </row>
    <row r="519" spans="4:23" x14ac:dyDescent="0.15">
      <c r="D519" s="40" t="s">
        <v>1235</v>
      </c>
      <c r="E519" s="40" t="s">
        <v>1278</v>
      </c>
      <c r="F519" s="40" t="s">
        <v>1279</v>
      </c>
      <c r="G519" s="40">
        <v>1</v>
      </c>
      <c r="H519" s="41">
        <v>40513.489583333343</v>
      </c>
      <c r="I519" s="40">
        <v>5.95</v>
      </c>
      <c r="J519" s="40">
        <v>17908</v>
      </c>
      <c r="K519" s="40" t="s">
        <v>71</v>
      </c>
      <c r="L519" s="42">
        <v>5.95</v>
      </c>
      <c r="M519" s="40" t="s">
        <v>721</v>
      </c>
      <c r="N519" s="40">
        <v>2010</v>
      </c>
      <c r="O519" s="40" t="s">
        <v>83</v>
      </c>
      <c r="P519" s="40" t="s">
        <v>126</v>
      </c>
      <c r="Q519" s="40" t="s">
        <v>624</v>
      </c>
      <c r="R519" s="40">
        <v>11</v>
      </c>
      <c r="S519" s="40" t="b">
        <v>0</v>
      </c>
      <c r="T519" s="40" t="b">
        <v>1</v>
      </c>
      <c r="U519" s="42">
        <f t="shared" si="8"/>
        <v>5.95</v>
      </c>
      <c r="V519" s="42">
        <v>0</v>
      </c>
      <c r="W519" s="42">
        <v>5.95</v>
      </c>
    </row>
    <row r="520" spans="4:23" x14ac:dyDescent="0.15">
      <c r="D520" s="43" t="s">
        <v>1235</v>
      </c>
      <c r="E520" s="43" t="s">
        <v>1280</v>
      </c>
      <c r="F520" s="43" t="s">
        <v>1281</v>
      </c>
      <c r="G520" s="43">
        <v>1</v>
      </c>
      <c r="H520" s="44">
        <v>40513.489583333343</v>
      </c>
      <c r="I520" s="43">
        <v>1.25</v>
      </c>
      <c r="J520" s="43">
        <v>17908</v>
      </c>
      <c r="K520" s="43" t="s">
        <v>71</v>
      </c>
      <c r="L520" s="45">
        <v>1.25</v>
      </c>
      <c r="M520" s="43" t="s">
        <v>721</v>
      </c>
      <c r="N520" s="43">
        <v>2010</v>
      </c>
      <c r="O520" s="43" t="s">
        <v>83</v>
      </c>
      <c r="P520" s="43" t="s">
        <v>126</v>
      </c>
      <c r="Q520" s="43" t="s">
        <v>624</v>
      </c>
      <c r="R520" s="43">
        <v>11</v>
      </c>
      <c r="S520" s="43" t="b">
        <v>0</v>
      </c>
      <c r="T520" s="43" t="b">
        <v>1</v>
      </c>
      <c r="U520" s="45">
        <f t="shared" si="8"/>
        <v>1.25</v>
      </c>
      <c r="V520" s="45">
        <v>0</v>
      </c>
      <c r="W520" s="45">
        <v>1.25</v>
      </c>
    </row>
    <row r="521" spans="4:23" x14ac:dyDescent="0.15">
      <c r="D521" s="40" t="s">
        <v>1235</v>
      </c>
      <c r="E521" s="40" t="s">
        <v>1282</v>
      </c>
      <c r="F521" s="40" t="s">
        <v>1283</v>
      </c>
      <c r="G521" s="40">
        <v>1</v>
      </c>
      <c r="H521" s="41">
        <v>40513.489583333343</v>
      </c>
      <c r="I521" s="40">
        <v>1.65</v>
      </c>
      <c r="J521" s="40">
        <v>17908</v>
      </c>
      <c r="K521" s="40" t="s">
        <v>71</v>
      </c>
      <c r="L521" s="42">
        <v>1.65</v>
      </c>
      <c r="M521" s="40" t="s">
        <v>721</v>
      </c>
      <c r="N521" s="40">
        <v>2010</v>
      </c>
      <c r="O521" s="40" t="s">
        <v>83</v>
      </c>
      <c r="P521" s="40" t="s">
        <v>126</v>
      </c>
      <c r="Q521" s="40" t="s">
        <v>624</v>
      </c>
      <c r="R521" s="40">
        <v>11</v>
      </c>
      <c r="S521" s="40" t="b">
        <v>0</v>
      </c>
      <c r="T521" s="40" t="b">
        <v>1</v>
      </c>
      <c r="U521" s="42">
        <f t="shared" si="8"/>
        <v>1.65</v>
      </c>
      <c r="V521" s="42">
        <v>0</v>
      </c>
      <c r="W521" s="42">
        <v>1.65</v>
      </c>
    </row>
    <row r="522" spans="4:23" x14ac:dyDescent="0.15">
      <c r="D522" s="43" t="s">
        <v>1235</v>
      </c>
      <c r="E522" s="43" t="s">
        <v>1250</v>
      </c>
      <c r="F522" s="43" t="s">
        <v>1251</v>
      </c>
      <c r="G522" s="43">
        <v>1</v>
      </c>
      <c r="H522" s="44">
        <v>40513.489583333343</v>
      </c>
      <c r="I522" s="43">
        <v>1.25</v>
      </c>
      <c r="J522" s="43">
        <v>17908</v>
      </c>
      <c r="K522" s="43" t="s">
        <v>71</v>
      </c>
      <c r="L522" s="45">
        <v>1.25</v>
      </c>
      <c r="M522" s="43" t="s">
        <v>721</v>
      </c>
      <c r="N522" s="43">
        <v>2010</v>
      </c>
      <c r="O522" s="43" t="s">
        <v>83</v>
      </c>
      <c r="P522" s="43" t="s">
        <v>126</v>
      </c>
      <c r="Q522" s="43" t="s">
        <v>624</v>
      </c>
      <c r="R522" s="43">
        <v>11</v>
      </c>
      <c r="S522" s="43" t="b">
        <v>0</v>
      </c>
      <c r="T522" s="43" t="b">
        <v>1</v>
      </c>
      <c r="U522" s="45">
        <f t="shared" si="8"/>
        <v>1.25</v>
      </c>
      <c r="V522" s="45">
        <v>0</v>
      </c>
      <c r="W522" s="45">
        <v>1.25</v>
      </c>
    </row>
    <row r="523" spans="4:23" x14ac:dyDescent="0.15">
      <c r="D523" s="40" t="s">
        <v>1235</v>
      </c>
      <c r="E523" s="40" t="s">
        <v>1284</v>
      </c>
      <c r="F523" s="40" t="s">
        <v>1285</v>
      </c>
      <c r="G523" s="40">
        <v>12</v>
      </c>
      <c r="H523" s="41">
        <v>40513.489583333343</v>
      </c>
      <c r="I523" s="40">
        <v>0.65</v>
      </c>
      <c r="J523" s="40">
        <v>17908</v>
      </c>
      <c r="K523" s="40" t="s">
        <v>71</v>
      </c>
      <c r="L523" s="42">
        <v>7.8000000000000007</v>
      </c>
      <c r="M523" s="40" t="s">
        <v>721</v>
      </c>
      <c r="N523" s="40">
        <v>2010</v>
      </c>
      <c r="O523" s="40" t="s">
        <v>83</v>
      </c>
      <c r="P523" s="40" t="s">
        <v>126</v>
      </c>
      <c r="Q523" s="40" t="s">
        <v>624</v>
      </c>
      <c r="R523" s="40">
        <v>11</v>
      </c>
      <c r="S523" s="40" t="b">
        <v>0</v>
      </c>
      <c r="T523" s="40" t="b">
        <v>1</v>
      </c>
      <c r="U523" s="42">
        <f t="shared" si="8"/>
        <v>7.8000000000000007</v>
      </c>
      <c r="V523" s="42">
        <v>0</v>
      </c>
      <c r="W523" s="42">
        <v>7.8000000000000007</v>
      </c>
    </row>
    <row r="524" spans="4:23" x14ac:dyDescent="0.15">
      <c r="D524" s="43" t="s">
        <v>1235</v>
      </c>
      <c r="E524" s="43" t="s">
        <v>1286</v>
      </c>
      <c r="F524" s="43" t="s">
        <v>1287</v>
      </c>
      <c r="G524" s="43">
        <v>1</v>
      </c>
      <c r="H524" s="44">
        <v>40513.489583333343</v>
      </c>
      <c r="I524" s="43">
        <v>5.95</v>
      </c>
      <c r="J524" s="43">
        <v>17908</v>
      </c>
      <c r="K524" s="43" t="s">
        <v>71</v>
      </c>
      <c r="L524" s="45">
        <v>5.95</v>
      </c>
      <c r="M524" s="43" t="s">
        <v>721</v>
      </c>
      <c r="N524" s="43">
        <v>2010</v>
      </c>
      <c r="O524" s="43" t="s">
        <v>83</v>
      </c>
      <c r="P524" s="43" t="s">
        <v>126</v>
      </c>
      <c r="Q524" s="43" t="s">
        <v>624</v>
      </c>
      <c r="R524" s="43">
        <v>11</v>
      </c>
      <c r="S524" s="43" t="b">
        <v>0</v>
      </c>
      <c r="T524" s="43" t="b">
        <v>1</v>
      </c>
      <c r="U524" s="45">
        <f t="shared" si="8"/>
        <v>5.95</v>
      </c>
      <c r="V524" s="45">
        <v>0</v>
      </c>
      <c r="W524" s="45">
        <v>5.95</v>
      </c>
    </row>
    <row r="525" spans="4:23" x14ac:dyDescent="0.15">
      <c r="D525" s="40" t="s">
        <v>1235</v>
      </c>
      <c r="E525" s="40" t="s">
        <v>1288</v>
      </c>
      <c r="F525" s="40" t="s">
        <v>1289</v>
      </c>
      <c r="G525" s="40">
        <v>1</v>
      </c>
      <c r="H525" s="41">
        <v>40513.489583333343</v>
      </c>
      <c r="I525" s="40">
        <v>1.65</v>
      </c>
      <c r="J525" s="40">
        <v>17908</v>
      </c>
      <c r="K525" s="40" t="s">
        <v>71</v>
      </c>
      <c r="L525" s="42">
        <v>1.65</v>
      </c>
      <c r="M525" s="40" t="s">
        <v>721</v>
      </c>
      <c r="N525" s="40">
        <v>2010</v>
      </c>
      <c r="O525" s="40" t="s">
        <v>83</v>
      </c>
      <c r="P525" s="40" t="s">
        <v>126</v>
      </c>
      <c r="Q525" s="40" t="s">
        <v>624</v>
      </c>
      <c r="R525" s="40">
        <v>11</v>
      </c>
      <c r="S525" s="40" t="b">
        <v>0</v>
      </c>
      <c r="T525" s="40" t="b">
        <v>1</v>
      </c>
      <c r="U525" s="42">
        <f t="shared" si="8"/>
        <v>1.65</v>
      </c>
      <c r="V525" s="42">
        <v>0</v>
      </c>
      <c r="W525" s="42">
        <v>1.65</v>
      </c>
    </row>
    <row r="526" spans="4:23" x14ac:dyDescent="0.15">
      <c r="D526" s="43" t="s">
        <v>1235</v>
      </c>
      <c r="E526" s="43" t="s">
        <v>413</v>
      </c>
      <c r="F526" s="43" t="s">
        <v>414</v>
      </c>
      <c r="G526" s="43">
        <v>1</v>
      </c>
      <c r="H526" s="44">
        <v>40513.489583333343</v>
      </c>
      <c r="I526" s="43">
        <v>2.95</v>
      </c>
      <c r="J526" s="43">
        <v>17908</v>
      </c>
      <c r="K526" s="43" t="s">
        <v>71</v>
      </c>
      <c r="L526" s="45">
        <v>2.95</v>
      </c>
      <c r="M526" s="43" t="s">
        <v>721</v>
      </c>
      <c r="N526" s="43">
        <v>2010</v>
      </c>
      <c r="O526" s="43" t="s">
        <v>83</v>
      </c>
      <c r="P526" s="43" t="s">
        <v>126</v>
      </c>
      <c r="Q526" s="43" t="s">
        <v>624</v>
      </c>
      <c r="R526" s="43">
        <v>11</v>
      </c>
      <c r="S526" s="43" t="b">
        <v>0</v>
      </c>
      <c r="T526" s="43" t="b">
        <v>1</v>
      </c>
      <c r="U526" s="45">
        <f t="shared" si="8"/>
        <v>2.95</v>
      </c>
      <c r="V526" s="45">
        <v>0</v>
      </c>
      <c r="W526" s="45">
        <v>2.95</v>
      </c>
    </row>
    <row r="527" spans="4:23" x14ac:dyDescent="0.15">
      <c r="D527" s="40" t="s">
        <v>1235</v>
      </c>
      <c r="E527" s="40" t="s">
        <v>289</v>
      </c>
      <c r="F527" s="40" t="s">
        <v>290</v>
      </c>
      <c r="G527" s="40">
        <v>1</v>
      </c>
      <c r="H527" s="41">
        <v>40513.489583333343</v>
      </c>
      <c r="I527" s="40">
        <v>1.95</v>
      </c>
      <c r="J527" s="40">
        <v>17908</v>
      </c>
      <c r="K527" s="40" t="s">
        <v>71</v>
      </c>
      <c r="L527" s="42">
        <v>1.95</v>
      </c>
      <c r="M527" s="40" t="s">
        <v>721</v>
      </c>
      <c r="N527" s="40">
        <v>2010</v>
      </c>
      <c r="O527" s="40" t="s">
        <v>83</v>
      </c>
      <c r="P527" s="40" t="s">
        <v>126</v>
      </c>
      <c r="Q527" s="40" t="s">
        <v>624</v>
      </c>
      <c r="R527" s="40">
        <v>11</v>
      </c>
      <c r="S527" s="40" t="b">
        <v>0</v>
      </c>
      <c r="T527" s="40" t="b">
        <v>1</v>
      </c>
      <c r="U527" s="42">
        <f t="shared" si="8"/>
        <v>1.95</v>
      </c>
      <c r="V527" s="42">
        <v>0</v>
      </c>
      <c r="W527" s="42">
        <v>1.95</v>
      </c>
    </row>
    <row r="528" spans="4:23" x14ac:dyDescent="0.15">
      <c r="D528" s="43" t="s">
        <v>1235</v>
      </c>
      <c r="E528" s="43" t="s">
        <v>1109</v>
      </c>
      <c r="F528" s="43" t="s">
        <v>1110</v>
      </c>
      <c r="G528" s="43">
        <v>2</v>
      </c>
      <c r="H528" s="44">
        <v>40513.489583333343</v>
      </c>
      <c r="I528" s="43">
        <v>1.25</v>
      </c>
      <c r="J528" s="43">
        <v>17908</v>
      </c>
      <c r="K528" s="43" t="s">
        <v>71</v>
      </c>
      <c r="L528" s="45">
        <v>2.5</v>
      </c>
      <c r="M528" s="43" t="s">
        <v>721</v>
      </c>
      <c r="N528" s="43">
        <v>2010</v>
      </c>
      <c r="O528" s="43" t="s">
        <v>83</v>
      </c>
      <c r="P528" s="43" t="s">
        <v>126</v>
      </c>
      <c r="Q528" s="43" t="s">
        <v>624</v>
      </c>
      <c r="R528" s="43">
        <v>11</v>
      </c>
      <c r="S528" s="43" t="b">
        <v>0</v>
      </c>
      <c r="T528" s="43" t="b">
        <v>1</v>
      </c>
      <c r="U528" s="45">
        <f t="shared" si="8"/>
        <v>2.5</v>
      </c>
      <c r="V528" s="45">
        <v>0</v>
      </c>
      <c r="W528" s="45">
        <v>2.5</v>
      </c>
    </row>
    <row r="529" spans="4:23" x14ac:dyDescent="0.15">
      <c r="D529" s="40" t="s">
        <v>1235</v>
      </c>
      <c r="E529" s="40" t="s">
        <v>1290</v>
      </c>
      <c r="F529" s="40" t="s">
        <v>1291</v>
      </c>
      <c r="G529" s="40">
        <v>1</v>
      </c>
      <c r="H529" s="41">
        <v>40513.489583333343</v>
      </c>
      <c r="I529" s="40">
        <v>4.95</v>
      </c>
      <c r="J529" s="40">
        <v>17908</v>
      </c>
      <c r="K529" s="40" t="s">
        <v>71</v>
      </c>
      <c r="L529" s="42">
        <v>4.95</v>
      </c>
      <c r="M529" s="40" t="s">
        <v>721</v>
      </c>
      <c r="N529" s="40">
        <v>2010</v>
      </c>
      <c r="O529" s="40" t="s">
        <v>83</v>
      </c>
      <c r="P529" s="40" t="s">
        <v>126</v>
      </c>
      <c r="Q529" s="40" t="s">
        <v>624</v>
      </c>
      <c r="R529" s="40">
        <v>11</v>
      </c>
      <c r="S529" s="40" t="b">
        <v>0</v>
      </c>
      <c r="T529" s="40" t="b">
        <v>1</v>
      </c>
      <c r="U529" s="42">
        <f t="shared" si="8"/>
        <v>4.95</v>
      </c>
      <c r="V529" s="42">
        <v>0</v>
      </c>
      <c r="W529" s="42">
        <v>4.95</v>
      </c>
    </row>
    <row r="530" spans="4:23" x14ac:dyDescent="0.15">
      <c r="D530" s="43" t="s">
        <v>1235</v>
      </c>
      <c r="E530" s="43" t="s">
        <v>1236</v>
      </c>
      <c r="F530" s="43" t="s">
        <v>1237</v>
      </c>
      <c r="G530" s="43">
        <v>2</v>
      </c>
      <c r="H530" s="44">
        <v>40513.489583333343</v>
      </c>
      <c r="I530" s="43">
        <v>6.35</v>
      </c>
      <c r="J530" s="43">
        <v>17908</v>
      </c>
      <c r="K530" s="43" t="s">
        <v>71</v>
      </c>
      <c r="L530" s="45">
        <v>12.7</v>
      </c>
      <c r="M530" s="43" t="s">
        <v>721</v>
      </c>
      <c r="N530" s="43">
        <v>2010</v>
      </c>
      <c r="O530" s="43" t="s">
        <v>83</v>
      </c>
      <c r="P530" s="43" t="s">
        <v>126</v>
      </c>
      <c r="Q530" s="43" t="s">
        <v>624</v>
      </c>
      <c r="R530" s="43">
        <v>11</v>
      </c>
      <c r="S530" s="43" t="b">
        <v>0</v>
      </c>
      <c r="T530" s="43" t="b">
        <v>1</v>
      </c>
      <c r="U530" s="45">
        <f t="shared" si="8"/>
        <v>12.7</v>
      </c>
      <c r="V530" s="45">
        <v>0</v>
      </c>
      <c r="W530" s="45">
        <v>12.7</v>
      </c>
    </row>
    <row r="531" spans="4:23" x14ac:dyDescent="0.15">
      <c r="D531" s="40" t="s">
        <v>1235</v>
      </c>
      <c r="E531" s="40" t="s">
        <v>729</v>
      </c>
      <c r="F531" s="40" t="s">
        <v>730</v>
      </c>
      <c r="G531" s="40">
        <v>1</v>
      </c>
      <c r="H531" s="41">
        <v>40513.489583333343</v>
      </c>
      <c r="I531" s="40">
        <v>2.1</v>
      </c>
      <c r="J531" s="40">
        <v>17908</v>
      </c>
      <c r="K531" s="40" t="s">
        <v>71</v>
      </c>
      <c r="L531" s="42">
        <v>2.1</v>
      </c>
      <c r="M531" s="40" t="s">
        <v>721</v>
      </c>
      <c r="N531" s="40">
        <v>2010</v>
      </c>
      <c r="O531" s="40" t="s">
        <v>83</v>
      </c>
      <c r="P531" s="40" t="s">
        <v>126</v>
      </c>
      <c r="Q531" s="40" t="s">
        <v>624</v>
      </c>
      <c r="R531" s="40">
        <v>11</v>
      </c>
      <c r="S531" s="40" t="b">
        <v>0</v>
      </c>
      <c r="T531" s="40" t="b">
        <v>1</v>
      </c>
      <c r="U531" s="42">
        <f t="shared" si="8"/>
        <v>2.1</v>
      </c>
      <c r="V531" s="42">
        <v>0</v>
      </c>
      <c r="W531" s="42">
        <v>2.1</v>
      </c>
    </row>
    <row r="532" spans="4:23" x14ac:dyDescent="0.15">
      <c r="D532" s="43" t="s">
        <v>1235</v>
      </c>
      <c r="E532" s="43" t="s">
        <v>419</v>
      </c>
      <c r="F532" s="43" t="s">
        <v>420</v>
      </c>
      <c r="G532" s="43">
        <v>1</v>
      </c>
      <c r="H532" s="44">
        <v>40513.489583333343</v>
      </c>
      <c r="I532" s="43">
        <v>2.1</v>
      </c>
      <c r="J532" s="43">
        <v>17908</v>
      </c>
      <c r="K532" s="43" t="s">
        <v>71</v>
      </c>
      <c r="L532" s="45">
        <v>2.1</v>
      </c>
      <c r="M532" s="43" t="s">
        <v>721</v>
      </c>
      <c r="N532" s="43">
        <v>2010</v>
      </c>
      <c r="O532" s="43" t="s">
        <v>83</v>
      </c>
      <c r="P532" s="43" t="s">
        <v>126</v>
      </c>
      <c r="Q532" s="43" t="s">
        <v>624</v>
      </c>
      <c r="R532" s="43">
        <v>11</v>
      </c>
      <c r="S532" s="43" t="b">
        <v>0</v>
      </c>
      <c r="T532" s="43" t="b">
        <v>1</v>
      </c>
      <c r="U532" s="45">
        <f t="shared" si="8"/>
        <v>2.1</v>
      </c>
      <c r="V532" s="45">
        <v>0</v>
      </c>
      <c r="W532" s="45">
        <v>2.1</v>
      </c>
    </row>
    <row r="533" spans="4:23" x14ac:dyDescent="0.15">
      <c r="D533" s="40" t="s">
        <v>1235</v>
      </c>
      <c r="E533" s="40" t="s">
        <v>967</v>
      </c>
      <c r="F533" s="40" t="s">
        <v>968</v>
      </c>
      <c r="G533" s="40">
        <v>1</v>
      </c>
      <c r="H533" s="41">
        <v>40513.489583333343</v>
      </c>
      <c r="I533" s="40">
        <v>1.65</v>
      </c>
      <c r="J533" s="40">
        <v>17908</v>
      </c>
      <c r="K533" s="40" t="s">
        <v>71</v>
      </c>
      <c r="L533" s="42">
        <v>1.65</v>
      </c>
      <c r="M533" s="40" t="s">
        <v>721</v>
      </c>
      <c r="N533" s="40">
        <v>2010</v>
      </c>
      <c r="O533" s="40" t="s">
        <v>83</v>
      </c>
      <c r="P533" s="40" t="s">
        <v>126</v>
      </c>
      <c r="Q533" s="40" t="s">
        <v>624</v>
      </c>
      <c r="R533" s="40">
        <v>11</v>
      </c>
      <c r="S533" s="40" t="b">
        <v>0</v>
      </c>
      <c r="T533" s="40" t="b">
        <v>1</v>
      </c>
      <c r="U533" s="42">
        <f t="shared" si="8"/>
        <v>1.65</v>
      </c>
      <c r="V533" s="42">
        <v>0</v>
      </c>
      <c r="W533" s="42">
        <v>1.65</v>
      </c>
    </row>
    <row r="534" spans="4:23" x14ac:dyDescent="0.15">
      <c r="D534" s="43" t="s">
        <v>1235</v>
      </c>
      <c r="E534" s="43" t="s">
        <v>1292</v>
      </c>
      <c r="F534" s="43" t="s">
        <v>1293</v>
      </c>
      <c r="G534" s="43">
        <v>3</v>
      </c>
      <c r="H534" s="44">
        <v>40513.489583333343</v>
      </c>
      <c r="I534" s="43">
        <v>1.45</v>
      </c>
      <c r="J534" s="43">
        <v>17908</v>
      </c>
      <c r="K534" s="43" t="s">
        <v>71</v>
      </c>
      <c r="L534" s="45">
        <v>4.3499999999999996</v>
      </c>
      <c r="M534" s="43" t="s">
        <v>721</v>
      </c>
      <c r="N534" s="43">
        <v>2010</v>
      </c>
      <c r="O534" s="43" t="s">
        <v>83</v>
      </c>
      <c r="P534" s="43" t="s">
        <v>126</v>
      </c>
      <c r="Q534" s="43" t="s">
        <v>624</v>
      </c>
      <c r="R534" s="43">
        <v>11</v>
      </c>
      <c r="S534" s="43" t="b">
        <v>0</v>
      </c>
      <c r="T534" s="43" t="b">
        <v>1</v>
      </c>
      <c r="U534" s="45">
        <f t="shared" si="8"/>
        <v>4.3499999999999996</v>
      </c>
      <c r="V534" s="45">
        <v>0</v>
      </c>
      <c r="W534" s="45">
        <v>4.3499999999999996</v>
      </c>
    </row>
    <row r="535" spans="4:23" x14ac:dyDescent="0.15">
      <c r="D535" s="40" t="s">
        <v>1235</v>
      </c>
      <c r="E535" s="40" t="s">
        <v>1294</v>
      </c>
      <c r="F535" s="40" t="s">
        <v>1295</v>
      </c>
      <c r="G535" s="40">
        <v>3</v>
      </c>
      <c r="H535" s="41">
        <v>40513.489583333343</v>
      </c>
      <c r="I535" s="40">
        <v>1.45</v>
      </c>
      <c r="J535" s="40">
        <v>17908</v>
      </c>
      <c r="K535" s="40" t="s">
        <v>71</v>
      </c>
      <c r="L535" s="42">
        <v>4.3499999999999996</v>
      </c>
      <c r="M535" s="40" t="s">
        <v>721</v>
      </c>
      <c r="N535" s="40">
        <v>2010</v>
      </c>
      <c r="O535" s="40" t="s">
        <v>83</v>
      </c>
      <c r="P535" s="40" t="s">
        <v>126</v>
      </c>
      <c r="Q535" s="40" t="s">
        <v>624</v>
      </c>
      <c r="R535" s="40">
        <v>11</v>
      </c>
      <c r="S535" s="40" t="b">
        <v>0</v>
      </c>
      <c r="T535" s="40" t="b">
        <v>1</v>
      </c>
      <c r="U535" s="42">
        <f t="shared" si="8"/>
        <v>4.3499999999999996</v>
      </c>
      <c r="V535" s="42">
        <v>0</v>
      </c>
      <c r="W535" s="42">
        <v>4.3499999999999996</v>
      </c>
    </row>
    <row r="536" spans="4:23" x14ac:dyDescent="0.15">
      <c r="D536" s="43" t="s">
        <v>1235</v>
      </c>
      <c r="E536" s="43" t="s">
        <v>1296</v>
      </c>
      <c r="F536" s="43" t="s">
        <v>1297</v>
      </c>
      <c r="G536" s="43">
        <v>6</v>
      </c>
      <c r="H536" s="44">
        <v>40513.489583333343</v>
      </c>
      <c r="I536" s="43">
        <v>0.42</v>
      </c>
      <c r="J536" s="43">
        <v>17908</v>
      </c>
      <c r="K536" s="43" t="s">
        <v>71</v>
      </c>
      <c r="L536" s="45">
        <v>2.52</v>
      </c>
      <c r="M536" s="43" t="s">
        <v>721</v>
      </c>
      <c r="N536" s="43">
        <v>2010</v>
      </c>
      <c r="O536" s="43" t="s">
        <v>83</v>
      </c>
      <c r="P536" s="43" t="s">
        <v>126</v>
      </c>
      <c r="Q536" s="43" t="s">
        <v>624</v>
      </c>
      <c r="R536" s="43">
        <v>11</v>
      </c>
      <c r="S536" s="43" t="b">
        <v>0</v>
      </c>
      <c r="T536" s="43" t="b">
        <v>1</v>
      </c>
      <c r="U536" s="45">
        <f t="shared" si="8"/>
        <v>2.52</v>
      </c>
      <c r="V536" s="45">
        <v>0</v>
      </c>
      <c r="W536" s="45">
        <v>2.52</v>
      </c>
    </row>
    <row r="537" spans="4:23" x14ac:dyDescent="0.15">
      <c r="D537" s="40" t="s">
        <v>1235</v>
      </c>
      <c r="E537" s="40" t="s">
        <v>199</v>
      </c>
      <c r="F537" s="40" t="s">
        <v>380</v>
      </c>
      <c r="G537" s="40">
        <v>2</v>
      </c>
      <c r="H537" s="41">
        <v>40513.489583333343</v>
      </c>
      <c r="I537" s="40">
        <v>0.85</v>
      </c>
      <c r="J537" s="40">
        <v>17908</v>
      </c>
      <c r="K537" s="40" t="s">
        <v>71</v>
      </c>
      <c r="L537" s="42">
        <v>1.7</v>
      </c>
      <c r="M537" s="40" t="s">
        <v>721</v>
      </c>
      <c r="N537" s="40">
        <v>2010</v>
      </c>
      <c r="O537" s="40" t="s">
        <v>83</v>
      </c>
      <c r="P537" s="40" t="s">
        <v>126</v>
      </c>
      <c r="Q537" s="40" t="s">
        <v>624</v>
      </c>
      <c r="R537" s="40">
        <v>11</v>
      </c>
      <c r="S537" s="40" t="b">
        <v>0</v>
      </c>
      <c r="T537" s="40" t="b">
        <v>1</v>
      </c>
      <c r="U537" s="42">
        <f t="shared" si="8"/>
        <v>1.7</v>
      </c>
      <c r="V537" s="42">
        <v>0</v>
      </c>
      <c r="W537" s="42">
        <v>1.7</v>
      </c>
    </row>
    <row r="538" spans="4:23" x14ac:dyDescent="0.15">
      <c r="D538" s="43" t="s">
        <v>1235</v>
      </c>
      <c r="E538" s="43" t="s">
        <v>170</v>
      </c>
      <c r="F538" s="43" t="s">
        <v>104</v>
      </c>
      <c r="G538" s="43">
        <v>2</v>
      </c>
      <c r="H538" s="44">
        <v>40513.489583333343</v>
      </c>
      <c r="I538" s="43">
        <v>1.95</v>
      </c>
      <c r="J538" s="43">
        <v>17908</v>
      </c>
      <c r="K538" s="43" t="s">
        <v>71</v>
      </c>
      <c r="L538" s="45">
        <v>3.9</v>
      </c>
      <c r="M538" s="43" t="s">
        <v>721</v>
      </c>
      <c r="N538" s="43">
        <v>2010</v>
      </c>
      <c r="O538" s="43" t="s">
        <v>83</v>
      </c>
      <c r="P538" s="43" t="s">
        <v>126</v>
      </c>
      <c r="Q538" s="43" t="s">
        <v>624</v>
      </c>
      <c r="R538" s="43">
        <v>11</v>
      </c>
      <c r="S538" s="43" t="b">
        <v>0</v>
      </c>
      <c r="T538" s="43" t="b">
        <v>1</v>
      </c>
      <c r="U538" s="45">
        <f t="shared" si="8"/>
        <v>3.9</v>
      </c>
      <c r="V538" s="45">
        <v>0</v>
      </c>
      <c r="W538" s="45">
        <v>3.9</v>
      </c>
    </row>
    <row r="539" spans="4:23" x14ac:dyDescent="0.15">
      <c r="D539" s="40" t="s">
        <v>1235</v>
      </c>
      <c r="E539" s="40" t="s">
        <v>209</v>
      </c>
      <c r="F539" s="40" t="s">
        <v>210</v>
      </c>
      <c r="G539" s="40">
        <v>1</v>
      </c>
      <c r="H539" s="41">
        <v>40513.489583333343</v>
      </c>
      <c r="I539" s="40">
        <v>1.95</v>
      </c>
      <c r="J539" s="40">
        <v>17908</v>
      </c>
      <c r="K539" s="40" t="s">
        <v>71</v>
      </c>
      <c r="L539" s="42">
        <v>1.95</v>
      </c>
      <c r="M539" s="40" t="s">
        <v>721</v>
      </c>
      <c r="N539" s="40">
        <v>2010</v>
      </c>
      <c r="O539" s="40" t="s">
        <v>83</v>
      </c>
      <c r="P539" s="40" t="s">
        <v>126</v>
      </c>
      <c r="Q539" s="40" t="s">
        <v>624</v>
      </c>
      <c r="R539" s="40">
        <v>11</v>
      </c>
      <c r="S539" s="40" t="b">
        <v>0</v>
      </c>
      <c r="T539" s="40" t="b">
        <v>1</v>
      </c>
      <c r="U539" s="42">
        <f t="shared" si="8"/>
        <v>1.95</v>
      </c>
      <c r="V539" s="42">
        <v>0</v>
      </c>
      <c r="W539" s="42">
        <v>1.95</v>
      </c>
    </row>
    <row r="540" spans="4:23" x14ac:dyDescent="0.15">
      <c r="D540" s="43" t="s">
        <v>1235</v>
      </c>
      <c r="E540" s="43" t="s">
        <v>1298</v>
      </c>
      <c r="F540" s="43" t="s">
        <v>1299</v>
      </c>
      <c r="G540" s="43">
        <v>1</v>
      </c>
      <c r="H540" s="44">
        <v>40513.489583333343</v>
      </c>
      <c r="I540" s="43">
        <v>1.25</v>
      </c>
      <c r="J540" s="43">
        <v>17908</v>
      </c>
      <c r="K540" s="43" t="s">
        <v>71</v>
      </c>
      <c r="L540" s="45">
        <v>1.25</v>
      </c>
      <c r="M540" s="43" t="s">
        <v>721</v>
      </c>
      <c r="N540" s="43">
        <v>2010</v>
      </c>
      <c r="O540" s="43" t="s">
        <v>83</v>
      </c>
      <c r="P540" s="43" t="s">
        <v>126</v>
      </c>
      <c r="Q540" s="43" t="s">
        <v>624</v>
      </c>
      <c r="R540" s="43">
        <v>11</v>
      </c>
      <c r="S540" s="43" t="b">
        <v>0</v>
      </c>
      <c r="T540" s="43" t="b">
        <v>1</v>
      </c>
      <c r="U540" s="45">
        <f t="shared" si="8"/>
        <v>1.25</v>
      </c>
      <c r="V540" s="45">
        <v>0</v>
      </c>
      <c r="W540" s="45">
        <v>1.25</v>
      </c>
    </row>
    <row r="541" spans="4:23" x14ac:dyDescent="0.15">
      <c r="D541" s="40" t="s">
        <v>1235</v>
      </c>
      <c r="E541" s="40" t="s">
        <v>485</v>
      </c>
      <c r="F541" s="40" t="s">
        <v>486</v>
      </c>
      <c r="G541" s="40">
        <v>1</v>
      </c>
      <c r="H541" s="41">
        <v>40513.489583333343</v>
      </c>
      <c r="I541" s="40">
        <v>0.85</v>
      </c>
      <c r="J541" s="40">
        <v>17908</v>
      </c>
      <c r="K541" s="40" t="s">
        <v>71</v>
      </c>
      <c r="L541" s="42">
        <v>0.85</v>
      </c>
      <c r="M541" s="40" t="s">
        <v>721</v>
      </c>
      <c r="N541" s="40">
        <v>2010</v>
      </c>
      <c r="O541" s="40" t="s">
        <v>83</v>
      </c>
      <c r="P541" s="40" t="s">
        <v>126</v>
      </c>
      <c r="Q541" s="40" t="s">
        <v>624</v>
      </c>
      <c r="R541" s="40">
        <v>11</v>
      </c>
      <c r="S541" s="40" t="b">
        <v>0</v>
      </c>
      <c r="T541" s="40" t="b">
        <v>1</v>
      </c>
      <c r="U541" s="42">
        <f t="shared" si="8"/>
        <v>0.85</v>
      </c>
      <c r="V541" s="42">
        <v>0</v>
      </c>
      <c r="W541" s="42">
        <v>0.85</v>
      </c>
    </row>
    <row r="542" spans="4:23" x14ac:dyDescent="0.15">
      <c r="D542" s="43" t="s">
        <v>1235</v>
      </c>
      <c r="E542" s="43" t="s">
        <v>413</v>
      </c>
      <c r="F542" s="43" t="s">
        <v>414</v>
      </c>
      <c r="G542" s="43">
        <v>1</v>
      </c>
      <c r="H542" s="44">
        <v>40513.489583333343</v>
      </c>
      <c r="I542" s="43">
        <v>2.95</v>
      </c>
      <c r="J542" s="43">
        <v>17908</v>
      </c>
      <c r="K542" s="43" t="s">
        <v>71</v>
      </c>
      <c r="L542" s="45">
        <v>2.95</v>
      </c>
      <c r="M542" s="43" t="s">
        <v>721</v>
      </c>
      <c r="N542" s="43">
        <v>2010</v>
      </c>
      <c r="O542" s="43" t="s">
        <v>83</v>
      </c>
      <c r="P542" s="43" t="s">
        <v>126</v>
      </c>
      <c r="Q542" s="43" t="s">
        <v>624</v>
      </c>
      <c r="R542" s="43">
        <v>11</v>
      </c>
      <c r="S542" s="43" t="b">
        <v>0</v>
      </c>
      <c r="T542" s="43" t="b">
        <v>1</v>
      </c>
      <c r="U542" s="45">
        <f t="shared" si="8"/>
        <v>2.95</v>
      </c>
      <c r="V542" s="45">
        <v>0</v>
      </c>
      <c r="W542" s="45">
        <v>2.95</v>
      </c>
    </row>
    <row r="543" spans="4:23" x14ac:dyDescent="0.15">
      <c r="D543" s="40" t="s">
        <v>1235</v>
      </c>
      <c r="E543" s="40" t="s">
        <v>986</v>
      </c>
      <c r="F543" s="40" t="s">
        <v>987</v>
      </c>
      <c r="G543" s="40">
        <v>12</v>
      </c>
      <c r="H543" s="41">
        <v>40513.489583333343</v>
      </c>
      <c r="I543" s="40">
        <v>0.28999999999999998</v>
      </c>
      <c r="J543" s="40">
        <v>17908</v>
      </c>
      <c r="K543" s="40" t="s">
        <v>71</v>
      </c>
      <c r="L543" s="42">
        <v>3.48</v>
      </c>
      <c r="M543" s="40" t="s">
        <v>721</v>
      </c>
      <c r="N543" s="40">
        <v>2010</v>
      </c>
      <c r="O543" s="40" t="s">
        <v>83</v>
      </c>
      <c r="P543" s="40" t="s">
        <v>126</v>
      </c>
      <c r="Q543" s="40" t="s">
        <v>624</v>
      </c>
      <c r="R543" s="40">
        <v>11</v>
      </c>
      <c r="S543" s="40" t="b">
        <v>0</v>
      </c>
      <c r="T543" s="40" t="b">
        <v>1</v>
      </c>
      <c r="U543" s="42">
        <f t="shared" si="8"/>
        <v>3.48</v>
      </c>
      <c r="V543" s="42">
        <v>0</v>
      </c>
      <c r="W543" s="42">
        <v>3.48</v>
      </c>
    </row>
    <row r="544" spans="4:23" x14ac:dyDescent="0.15">
      <c r="D544" s="43" t="s">
        <v>1235</v>
      </c>
      <c r="E544" s="43" t="s">
        <v>263</v>
      </c>
      <c r="F544" s="43" t="s">
        <v>264</v>
      </c>
      <c r="G544" s="43">
        <v>1</v>
      </c>
      <c r="H544" s="44">
        <v>40513.489583333343</v>
      </c>
      <c r="I544" s="43">
        <v>4.95</v>
      </c>
      <c r="J544" s="43">
        <v>17908</v>
      </c>
      <c r="K544" s="43" t="s">
        <v>71</v>
      </c>
      <c r="L544" s="45">
        <v>4.95</v>
      </c>
      <c r="M544" s="43" t="s">
        <v>721</v>
      </c>
      <c r="N544" s="43">
        <v>2010</v>
      </c>
      <c r="O544" s="43" t="s">
        <v>83</v>
      </c>
      <c r="P544" s="43" t="s">
        <v>126</v>
      </c>
      <c r="Q544" s="43" t="s">
        <v>624</v>
      </c>
      <c r="R544" s="43">
        <v>11</v>
      </c>
      <c r="S544" s="43" t="b">
        <v>0</v>
      </c>
      <c r="T544" s="43" t="b">
        <v>1</v>
      </c>
      <c r="U544" s="45">
        <f t="shared" si="8"/>
        <v>4.95</v>
      </c>
      <c r="V544" s="45">
        <v>0</v>
      </c>
      <c r="W544" s="45">
        <v>4.95</v>
      </c>
    </row>
    <row r="545" spans="4:23" x14ac:dyDescent="0.15">
      <c r="D545" s="40" t="s">
        <v>1235</v>
      </c>
      <c r="E545" s="40" t="s">
        <v>207</v>
      </c>
      <c r="F545" s="40" t="s">
        <v>208</v>
      </c>
      <c r="G545" s="40">
        <v>1</v>
      </c>
      <c r="H545" s="41">
        <v>40513.489583333343</v>
      </c>
      <c r="I545" s="40">
        <v>4.95</v>
      </c>
      <c r="J545" s="40">
        <v>17908</v>
      </c>
      <c r="K545" s="40" t="s">
        <v>71</v>
      </c>
      <c r="L545" s="42">
        <v>4.95</v>
      </c>
      <c r="M545" s="40" t="s">
        <v>721</v>
      </c>
      <c r="N545" s="40">
        <v>2010</v>
      </c>
      <c r="O545" s="40" t="s">
        <v>83</v>
      </c>
      <c r="P545" s="40" t="s">
        <v>126</v>
      </c>
      <c r="Q545" s="40" t="s">
        <v>624</v>
      </c>
      <c r="R545" s="40">
        <v>11</v>
      </c>
      <c r="S545" s="40" t="b">
        <v>0</v>
      </c>
      <c r="T545" s="40" t="b">
        <v>1</v>
      </c>
      <c r="U545" s="42">
        <f t="shared" si="8"/>
        <v>4.95</v>
      </c>
      <c r="V545" s="42">
        <v>0</v>
      </c>
      <c r="W545" s="42">
        <v>4.95</v>
      </c>
    </row>
    <row r="546" spans="4:23" x14ac:dyDescent="0.15">
      <c r="D546" s="43" t="s">
        <v>1300</v>
      </c>
      <c r="E546" s="43" t="s">
        <v>315</v>
      </c>
      <c r="F546" s="43" t="s">
        <v>316</v>
      </c>
      <c r="G546" s="43">
        <v>3</v>
      </c>
      <c r="H546" s="44">
        <v>40513.492361111108</v>
      </c>
      <c r="I546" s="43">
        <v>1.65</v>
      </c>
      <c r="J546" s="43">
        <v>17920</v>
      </c>
      <c r="K546" s="43" t="s">
        <v>71</v>
      </c>
      <c r="L546" s="45">
        <v>4.9499999999999993</v>
      </c>
      <c r="M546" s="43" t="s">
        <v>721</v>
      </c>
      <c r="N546" s="43">
        <v>2010</v>
      </c>
      <c r="O546" s="43" t="s">
        <v>83</v>
      </c>
      <c r="P546" s="43" t="s">
        <v>126</v>
      </c>
      <c r="Q546" s="43" t="s">
        <v>624</v>
      </c>
      <c r="R546" s="43">
        <v>11</v>
      </c>
      <c r="S546" s="43" t="b">
        <v>0</v>
      </c>
      <c r="T546" s="43" t="b">
        <v>1</v>
      </c>
      <c r="U546" s="45">
        <f t="shared" si="8"/>
        <v>4.9499999999999993</v>
      </c>
      <c r="V546" s="45">
        <v>0</v>
      </c>
      <c r="W546" s="45">
        <v>4.9499999999999993</v>
      </c>
    </row>
    <row r="547" spans="4:23" x14ac:dyDescent="0.15">
      <c r="D547" s="40" t="s">
        <v>1300</v>
      </c>
      <c r="E547" s="40" t="s">
        <v>353</v>
      </c>
      <c r="F547" s="40" t="s">
        <v>354</v>
      </c>
      <c r="G547" s="40">
        <v>3</v>
      </c>
      <c r="H547" s="41">
        <v>40513.492361111108</v>
      </c>
      <c r="I547" s="40">
        <v>1.65</v>
      </c>
      <c r="J547" s="40">
        <v>17920</v>
      </c>
      <c r="K547" s="40" t="s">
        <v>71</v>
      </c>
      <c r="L547" s="42">
        <v>4.9499999999999993</v>
      </c>
      <c r="M547" s="40" t="s">
        <v>721</v>
      </c>
      <c r="N547" s="40">
        <v>2010</v>
      </c>
      <c r="O547" s="40" t="s">
        <v>83</v>
      </c>
      <c r="P547" s="40" t="s">
        <v>126</v>
      </c>
      <c r="Q547" s="40" t="s">
        <v>624</v>
      </c>
      <c r="R547" s="40">
        <v>11</v>
      </c>
      <c r="S547" s="40" t="b">
        <v>0</v>
      </c>
      <c r="T547" s="40" t="b">
        <v>1</v>
      </c>
      <c r="U547" s="42">
        <f t="shared" si="8"/>
        <v>4.9499999999999993</v>
      </c>
      <c r="V547" s="42">
        <v>0</v>
      </c>
      <c r="W547" s="42">
        <v>4.9499999999999993</v>
      </c>
    </row>
    <row r="548" spans="4:23" x14ac:dyDescent="0.15">
      <c r="D548" s="43" t="s">
        <v>1300</v>
      </c>
      <c r="E548" s="43" t="s">
        <v>267</v>
      </c>
      <c r="F548" s="43" t="s">
        <v>268</v>
      </c>
      <c r="G548" s="43">
        <v>1</v>
      </c>
      <c r="H548" s="44">
        <v>40513.492361111108</v>
      </c>
      <c r="I548" s="43">
        <v>2.95</v>
      </c>
      <c r="J548" s="43">
        <v>17920</v>
      </c>
      <c r="K548" s="43" t="s">
        <v>71</v>
      </c>
      <c r="L548" s="45">
        <v>2.95</v>
      </c>
      <c r="M548" s="43" t="s">
        <v>721</v>
      </c>
      <c r="N548" s="43">
        <v>2010</v>
      </c>
      <c r="O548" s="43" t="s">
        <v>83</v>
      </c>
      <c r="P548" s="43" t="s">
        <v>126</v>
      </c>
      <c r="Q548" s="43" t="s">
        <v>624</v>
      </c>
      <c r="R548" s="43">
        <v>11</v>
      </c>
      <c r="S548" s="43" t="b">
        <v>0</v>
      </c>
      <c r="T548" s="43" t="b">
        <v>1</v>
      </c>
      <c r="U548" s="45">
        <f t="shared" si="8"/>
        <v>2.95</v>
      </c>
      <c r="V548" s="45">
        <v>0</v>
      </c>
      <c r="W548" s="45">
        <v>2.95</v>
      </c>
    </row>
    <row r="549" spans="4:23" x14ac:dyDescent="0.15">
      <c r="D549" s="40" t="s">
        <v>1300</v>
      </c>
      <c r="E549" s="40" t="s">
        <v>912</v>
      </c>
      <c r="F549" s="40" t="s">
        <v>913</v>
      </c>
      <c r="G549" s="40">
        <v>4</v>
      </c>
      <c r="H549" s="41">
        <v>40513.492361111108</v>
      </c>
      <c r="I549" s="40">
        <v>1.65</v>
      </c>
      <c r="J549" s="40">
        <v>17920</v>
      </c>
      <c r="K549" s="40" t="s">
        <v>71</v>
      </c>
      <c r="L549" s="42">
        <v>6.6</v>
      </c>
      <c r="M549" s="40" t="s">
        <v>721</v>
      </c>
      <c r="N549" s="40">
        <v>2010</v>
      </c>
      <c r="O549" s="40" t="s">
        <v>83</v>
      </c>
      <c r="P549" s="40" t="s">
        <v>126</v>
      </c>
      <c r="Q549" s="40" t="s">
        <v>624</v>
      </c>
      <c r="R549" s="40">
        <v>11</v>
      </c>
      <c r="S549" s="40" t="b">
        <v>0</v>
      </c>
      <c r="T549" s="40" t="b">
        <v>1</v>
      </c>
      <c r="U549" s="42">
        <f t="shared" si="8"/>
        <v>6.6</v>
      </c>
      <c r="V549" s="42">
        <v>0</v>
      </c>
      <c r="W549" s="42">
        <v>6.6</v>
      </c>
    </row>
    <row r="550" spans="4:23" x14ac:dyDescent="0.15">
      <c r="D550" s="43" t="s">
        <v>1300</v>
      </c>
      <c r="E550" s="43" t="s">
        <v>347</v>
      </c>
      <c r="F550" s="43" t="s">
        <v>1180</v>
      </c>
      <c r="G550" s="43">
        <v>3</v>
      </c>
      <c r="H550" s="44">
        <v>40513.492361111108</v>
      </c>
      <c r="I550" s="43">
        <v>1.65</v>
      </c>
      <c r="J550" s="43">
        <v>17920</v>
      </c>
      <c r="K550" s="43" t="s">
        <v>71</v>
      </c>
      <c r="L550" s="45">
        <v>4.9499999999999993</v>
      </c>
      <c r="M550" s="43" t="s">
        <v>721</v>
      </c>
      <c r="N550" s="43">
        <v>2010</v>
      </c>
      <c r="O550" s="43" t="s">
        <v>83</v>
      </c>
      <c r="P550" s="43" t="s">
        <v>126</v>
      </c>
      <c r="Q550" s="43" t="s">
        <v>624</v>
      </c>
      <c r="R550" s="43">
        <v>11</v>
      </c>
      <c r="S550" s="43" t="b">
        <v>0</v>
      </c>
      <c r="T550" s="43" t="b">
        <v>1</v>
      </c>
      <c r="U550" s="45">
        <f t="shared" si="8"/>
        <v>4.9499999999999993</v>
      </c>
      <c r="V550" s="45">
        <v>0</v>
      </c>
      <c r="W550" s="45">
        <v>4.9499999999999993</v>
      </c>
    </row>
    <row r="551" spans="4:23" x14ac:dyDescent="0.15">
      <c r="D551" s="40" t="s">
        <v>1300</v>
      </c>
      <c r="E551" s="40" t="s">
        <v>301</v>
      </c>
      <c r="F551" s="40" t="s">
        <v>302</v>
      </c>
      <c r="G551" s="40">
        <v>3</v>
      </c>
      <c r="H551" s="41">
        <v>40513.492361111108</v>
      </c>
      <c r="I551" s="40">
        <v>1.65</v>
      </c>
      <c r="J551" s="40">
        <v>17920</v>
      </c>
      <c r="K551" s="40" t="s">
        <v>71</v>
      </c>
      <c r="L551" s="42">
        <v>4.9499999999999993</v>
      </c>
      <c r="M551" s="40" t="s">
        <v>721</v>
      </c>
      <c r="N551" s="40">
        <v>2010</v>
      </c>
      <c r="O551" s="40" t="s">
        <v>83</v>
      </c>
      <c r="P551" s="40" t="s">
        <v>126</v>
      </c>
      <c r="Q551" s="40" t="s">
        <v>624</v>
      </c>
      <c r="R551" s="40">
        <v>11</v>
      </c>
      <c r="S551" s="40" t="b">
        <v>0</v>
      </c>
      <c r="T551" s="40" t="b">
        <v>1</v>
      </c>
      <c r="U551" s="42">
        <f t="shared" si="8"/>
        <v>4.9499999999999993</v>
      </c>
      <c r="V551" s="42">
        <v>0</v>
      </c>
      <c r="W551" s="42">
        <v>4.9499999999999993</v>
      </c>
    </row>
    <row r="552" spans="4:23" x14ac:dyDescent="0.15">
      <c r="D552" s="43" t="s">
        <v>1300</v>
      </c>
      <c r="E552" s="43" t="s">
        <v>341</v>
      </c>
      <c r="F552" s="43" t="s">
        <v>342</v>
      </c>
      <c r="G552" s="43">
        <v>1</v>
      </c>
      <c r="H552" s="44">
        <v>40513.492361111108</v>
      </c>
      <c r="I552" s="43">
        <v>2.95</v>
      </c>
      <c r="J552" s="43">
        <v>17920</v>
      </c>
      <c r="K552" s="43" t="s">
        <v>71</v>
      </c>
      <c r="L552" s="45">
        <v>2.95</v>
      </c>
      <c r="M552" s="43" t="s">
        <v>721</v>
      </c>
      <c r="N552" s="43">
        <v>2010</v>
      </c>
      <c r="O552" s="43" t="s">
        <v>83</v>
      </c>
      <c r="P552" s="43" t="s">
        <v>126</v>
      </c>
      <c r="Q552" s="43" t="s">
        <v>624</v>
      </c>
      <c r="R552" s="43">
        <v>11</v>
      </c>
      <c r="S552" s="43" t="b">
        <v>0</v>
      </c>
      <c r="T552" s="43" t="b">
        <v>1</v>
      </c>
      <c r="U552" s="45">
        <f t="shared" si="8"/>
        <v>2.95</v>
      </c>
      <c r="V552" s="45">
        <v>0</v>
      </c>
      <c r="W552" s="45">
        <v>2.95</v>
      </c>
    </row>
    <row r="553" spans="4:23" x14ac:dyDescent="0.15">
      <c r="D553" s="40" t="s">
        <v>1300</v>
      </c>
      <c r="E553" s="40" t="s">
        <v>1301</v>
      </c>
      <c r="F553" s="40" t="s">
        <v>1302</v>
      </c>
      <c r="G553" s="40">
        <v>1</v>
      </c>
      <c r="H553" s="41">
        <v>40513.492361111108</v>
      </c>
      <c r="I553" s="40">
        <v>2.95</v>
      </c>
      <c r="J553" s="40">
        <v>17920</v>
      </c>
      <c r="K553" s="40" t="s">
        <v>71</v>
      </c>
      <c r="L553" s="42">
        <v>2.95</v>
      </c>
      <c r="M553" s="40" t="s">
        <v>721</v>
      </c>
      <c r="N553" s="40">
        <v>2010</v>
      </c>
      <c r="O553" s="40" t="s">
        <v>83</v>
      </c>
      <c r="P553" s="40" t="s">
        <v>126</v>
      </c>
      <c r="Q553" s="40" t="s">
        <v>624</v>
      </c>
      <c r="R553" s="40">
        <v>11</v>
      </c>
      <c r="S553" s="40" t="b">
        <v>0</v>
      </c>
      <c r="T553" s="40" t="b">
        <v>1</v>
      </c>
      <c r="U553" s="42">
        <f t="shared" si="8"/>
        <v>2.95</v>
      </c>
      <c r="V553" s="42">
        <v>0</v>
      </c>
      <c r="W553" s="42">
        <v>2.95</v>
      </c>
    </row>
    <row r="554" spans="4:23" x14ac:dyDescent="0.15">
      <c r="D554" s="43" t="s">
        <v>1300</v>
      </c>
      <c r="E554" s="43" t="s">
        <v>317</v>
      </c>
      <c r="F554" s="43" t="s">
        <v>318</v>
      </c>
      <c r="G554" s="43">
        <v>1</v>
      </c>
      <c r="H554" s="44">
        <v>40513.492361111108</v>
      </c>
      <c r="I554" s="43">
        <v>1.95</v>
      </c>
      <c r="J554" s="43">
        <v>17920</v>
      </c>
      <c r="K554" s="43" t="s">
        <v>71</v>
      </c>
      <c r="L554" s="45">
        <v>1.95</v>
      </c>
      <c r="M554" s="43" t="s">
        <v>721</v>
      </c>
      <c r="N554" s="43">
        <v>2010</v>
      </c>
      <c r="O554" s="43" t="s">
        <v>83</v>
      </c>
      <c r="P554" s="43" t="s">
        <v>126</v>
      </c>
      <c r="Q554" s="43" t="s">
        <v>624</v>
      </c>
      <c r="R554" s="43">
        <v>11</v>
      </c>
      <c r="S554" s="43" t="b">
        <v>0</v>
      </c>
      <c r="T554" s="43" t="b">
        <v>1</v>
      </c>
      <c r="U554" s="45">
        <f t="shared" si="8"/>
        <v>1.95</v>
      </c>
      <c r="V554" s="45">
        <v>0</v>
      </c>
      <c r="W554" s="45">
        <v>1.95</v>
      </c>
    </row>
    <row r="555" spans="4:23" x14ac:dyDescent="0.15">
      <c r="D555" s="40" t="s">
        <v>1300</v>
      </c>
      <c r="E555" s="40" t="s">
        <v>249</v>
      </c>
      <c r="F555" s="40" t="s">
        <v>250</v>
      </c>
      <c r="G555" s="40">
        <v>1</v>
      </c>
      <c r="H555" s="41">
        <v>40513.492361111108</v>
      </c>
      <c r="I555" s="40">
        <v>1.95</v>
      </c>
      <c r="J555" s="40">
        <v>17920</v>
      </c>
      <c r="K555" s="40" t="s">
        <v>71</v>
      </c>
      <c r="L555" s="42">
        <v>1.95</v>
      </c>
      <c r="M555" s="40" t="s">
        <v>721</v>
      </c>
      <c r="N555" s="40">
        <v>2010</v>
      </c>
      <c r="O555" s="40" t="s">
        <v>83</v>
      </c>
      <c r="P555" s="40" t="s">
        <v>126</v>
      </c>
      <c r="Q555" s="40" t="s">
        <v>624</v>
      </c>
      <c r="R555" s="40">
        <v>11</v>
      </c>
      <c r="S555" s="40" t="b">
        <v>0</v>
      </c>
      <c r="T555" s="40" t="b">
        <v>1</v>
      </c>
      <c r="U555" s="42">
        <f t="shared" si="8"/>
        <v>1.95</v>
      </c>
      <c r="V555" s="42">
        <v>0</v>
      </c>
      <c r="W555" s="42">
        <v>1.95</v>
      </c>
    </row>
    <row r="556" spans="4:23" x14ac:dyDescent="0.15">
      <c r="D556" s="43" t="s">
        <v>1300</v>
      </c>
      <c r="E556" s="43" t="s">
        <v>1303</v>
      </c>
      <c r="F556" s="43" t="s">
        <v>1304</v>
      </c>
      <c r="G556" s="43">
        <v>1</v>
      </c>
      <c r="H556" s="44">
        <v>40513.492361111108</v>
      </c>
      <c r="I556" s="43">
        <v>1.69</v>
      </c>
      <c r="J556" s="43">
        <v>17920</v>
      </c>
      <c r="K556" s="43" t="s">
        <v>71</v>
      </c>
      <c r="L556" s="45">
        <v>1.69</v>
      </c>
      <c r="M556" s="43" t="s">
        <v>721</v>
      </c>
      <c r="N556" s="43">
        <v>2010</v>
      </c>
      <c r="O556" s="43" t="s">
        <v>83</v>
      </c>
      <c r="P556" s="43" t="s">
        <v>126</v>
      </c>
      <c r="Q556" s="43" t="s">
        <v>624</v>
      </c>
      <c r="R556" s="43">
        <v>11</v>
      </c>
      <c r="S556" s="43" t="b">
        <v>0</v>
      </c>
      <c r="T556" s="43" t="b">
        <v>1</v>
      </c>
      <c r="U556" s="45">
        <f t="shared" si="8"/>
        <v>1.69</v>
      </c>
      <c r="V556" s="45">
        <v>0</v>
      </c>
      <c r="W556" s="45">
        <v>1.69</v>
      </c>
    </row>
    <row r="557" spans="4:23" x14ac:dyDescent="0.15">
      <c r="D557" s="40" t="s">
        <v>1300</v>
      </c>
      <c r="E557" s="40" t="s">
        <v>1305</v>
      </c>
      <c r="F557" s="40" t="s">
        <v>1306</v>
      </c>
      <c r="G557" s="40">
        <v>1</v>
      </c>
      <c r="H557" s="41">
        <v>40513.492361111108</v>
      </c>
      <c r="I557" s="40">
        <v>1.69</v>
      </c>
      <c r="J557" s="40">
        <v>17920</v>
      </c>
      <c r="K557" s="40" t="s">
        <v>71</v>
      </c>
      <c r="L557" s="42">
        <v>1.69</v>
      </c>
      <c r="M557" s="40" t="s">
        <v>721</v>
      </c>
      <c r="N557" s="40">
        <v>2010</v>
      </c>
      <c r="O557" s="40" t="s">
        <v>83</v>
      </c>
      <c r="P557" s="40" t="s">
        <v>126</v>
      </c>
      <c r="Q557" s="40" t="s">
        <v>624</v>
      </c>
      <c r="R557" s="40">
        <v>11</v>
      </c>
      <c r="S557" s="40" t="b">
        <v>0</v>
      </c>
      <c r="T557" s="40" t="b">
        <v>1</v>
      </c>
      <c r="U557" s="42">
        <f t="shared" si="8"/>
        <v>1.69</v>
      </c>
      <c r="V557" s="42">
        <v>0</v>
      </c>
      <c r="W557" s="42">
        <v>1.69</v>
      </c>
    </row>
    <row r="558" spans="4:23" x14ac:dyDescent="0.15">
      <c r="D558" s="43" t="s">
        <v>1300</v>
      </c>
      <c r="E558" s="43" t="s">
        <v>1307</v>
      </c>
      <c r="F558" s="43" t="s">
        <v>1308</v>
      </c>
      <c r="G558" s="43">
        <v>1</v>
      </c>
      <c r="H558" s="44">
        <v>40513.492361111108</v>
      </c>
      <c r="I558" s="43">
        <v>1.69</v>
      </c>
      <c r="J558" s="43">
        <v>17920</v>
      </c>
      <c r="K558" s="43" t="s">
        <v>71</v>
      </c>
      <c r="L558" s="45">
        <v>1.69</v>
      </c>
      <c r="M558" s="43" t="s">
        <v>721</v>
      </c>
      <c r="N558" s="43">
        <v>2010</v>
      </c>
      <c r="O558" s="43" t="s">
        <v>83</v>
      </c>
      <c r="P558" s="43" t="s">
        <v>126</v>
      </c>
      <c r="Q558" s="43" t="s">
        <v>624</v>
      </c>
      <c r="R558" s="43">
        <v>11</v>
      </c>
      <c r="S558" s="43" t="b">
        <v>0</v>
      </c>
      <c r="T558" s="43" t="b">
        <v>1</v>
      </c>
      <c r="U558" s="45">
        <f t="shared" si="8"/>
        <v>1.69</v>
      </c>
      <c r="V558" s="45">
        <v>0</v>
      </c>
      <c r="W558" s="45">
        <v>1.69</v>
      </c>
    </row>
    <row r="559" spans="4:23" x14ac:dyDescent="0.15">
      <c r="D559" s="40" t="s">
        <v>1300</v>
      </c>
      <c r="E559" s="40" t="s">
        <v>1309</v>
      </c>
      <c r="F559" s="40" t="s">
        <v>1310</v>
      </c>
      <c r="G559" s="40">
        <v>1</v>
      </c>
      <c r="H559" s="41">
        <v>40513.492361111108</v>
      </c>
      <c r="I559" s="40">
        <v>1.69</v>
      </c>
      <c r="J559" s="40">
        <v>17920</v>
      </c>
      <c r="K559" s="40" t="s">
        <v>71</v>
      </c>
      <c r="L559" s="42">
        <v>1.69</v>
      </c>
      <c r="M559" s="40" t="s">
        <v>721</v>
      </c>
      <c r="N559" s="40">
        <v>2010</v>
      </c>
      <c r="O559" s="40" t="s">
        <v>83</v>
      </c>
      <c r="P559" s="40" t="s">
        <v>126</v>
      </c>
      <c r="Q559" s="40" t="s">
        <v>624</v>
      </c>
      <c r="R559" s="40">
        <v>11</v>
      </c>
      <c r="S559" s="40" t="b">
        <v>0</v>
      </c>
      <c r="T559" s="40" t="b">
        <v>1</v>
      </c>
      <c r="U559" s="42">
        <f t="shared" si="8"/>
        <v>1.69</v>
      </c>
      <c r="V559" s="42">
        <v>0</v>
      </c>
      <c r="W559" s="42">
        <v>1.69</v>
      </c>
    </row>
    <row r="560" spans="4:23" x14ac:dyDescent="0.15">
      <c r="D560" s="43" t="s">
        <v>1300</v>
      </c>
      <c r="E560" s="43" t="s">
        <v>1301</v>
      </c>
      <c r="F560" s="43" t="s">
        <v>1302</v>
      </c>
      <c r="G560" s="43">
        <v>1</v>
      </c>
      <c r="H560" s="44">
        <v>40513.492361111108</v>
      </c>
      <c r="I560" s="43">
        <v>2.95</v>
      </c>
      <c r="J560" s="43">
        <v>17920</v>
      </c>
      <c r="K560" s="43" t="s">
        <v>71</v>
      </c>
      <c r="L560" s="45">
        <v>2.95</v>
      </c>
      <c r="M560" s="43" t="s">
        <v>721</v>
      </c>
      <c r="N560" s="43">
        <v>2010</v>
      </c>
      <c r="O560" s="43" t="s">
        <v>83</v>
      </c>
      <c r="P560" s="43" t="s">
        <v>126</v>
      </c>
      <c r="Q560" s="43" t="s">
        <v>624</v>
      </c>
      <c r="R560" s="43">
        <v>11</v>
      </c>
      <c r="S560" s="43" t="b">
        <v>0</v>
      </c>
      <c r="T560" s="43" t="b">
        <v>1</v>
      </c>
      <c r="U560" s="45">
        <f t="shared" si="8"/>
        <v>2.95</v>
      </c>
      <c r="V560" s="45">
        <v>0</v>
      </c>
      <c r="W560" s="45">
        <v>2.95</v>
      </c>
    </row>
    <row r="561" spans="4:23" x14ac:dyDescent="0.15">
      <c r="D561" s="40" t="s">
        <v>1300</v>
      </c>
      <c r="E561" s="40" t="s">
        <v>505</v>
      </c>
      <c r="F561" s="40" t="s">
        <v>506</v>
      </c>
      <c r="G561" s="40">
        <v>1</v>
      </c>
      <c r="H561" s="41">
        <v>40513.492361111108</v>
      </c>
      <c r="I561" s="40">
        <v>2.95</v>
      </c>
      <c r="J561" s="40">
        <v>17920</v>
      </c>
      <c r="K561" s="40" t="s">
        <v>71</v>
      </c>
      <c r="L561" s="42">
        <v>2.95</v>
      </c>
      <c r="M561" s="40" t="s">
        <v>721</v>
      </c>
      <c r="N561" s="40">
        <v>2010</v>
      </c>
      <c r="O561" s="40" t="s">
        <v>83</v>
      </c>
      <c r="P561" s="40" t="s">
        <v>126</v>
      </c>
      <c r="Q561" s="40" t="s">
        <v>624</v>
      </c>
      <c r="R561" s="40">
        <v>11</v>
      </c>
      <c r="S561" s="40" t="b">
        <v>0</v>
      </c>
      <c r="T561" s="40" t="b">
        <v>1</v>
      </c>
      <c r="U561" s="42">
        <f t="shared" si="8"/>
        <v>2.95</v>
      </c>
      <c r="V561" s="42">
        <v>0</v>
      </c>
      <c r="W561" s="42">
        <v>2.95</v>
      </c>
    </row>
    <row r="562" spans="4:23" x14ac:dyDescent="0.15">
      <c r="D562" s="43" t="s">
        <v>1300</v>
      </c>
      <c r="E562" s="43" t="s">
        <v>1311</v>
      </c>
      <c r="F562" s="43" t="s">
        <v>1312</v>
      </c>
      <c r="G562" s="43">
        <v>3</v>
      </c>
      <c r="H562" s="44">
        <v>40513.492361111108</v>
      </c>
      <c r="I562" s="43">
        <v>4.25</v>
      </c>
      <c r="J562" s="43">
        <v>17920</v>
      </c>
      <c r="K562" s="43" t="s">
        <v>71</v>
      </c>
      <c r="L562" s="45">
        <v>12.75</v>
      </c>
      <c r="M562" s="43" t="s">
        <v>721</v>
      </c>
      <c r="N562" s="43">
        <v>2010</v>
      </c>
      <c r="O562" s="43" t="s">
        <v>83</v>
      </c>
      <c r="P562" s="43" t="s">
        <v>126</v>
      </c>
      <c r="Q562" s="43" t="s">
        <v>624</v>
      </c>
      <c r="R562" s="43">
        <v>11</v>
      </c>
      <c r="S562" s="43" t="b">
        <v>0</v>
      </c>
      <c r="T562" s="43" t="b">
        <v>1</v>
      </c>
      <c r="U562" s="45">
        <f t="shared" si="8"/>
        <v>12.75</v>
      </c>
      <c r="V562" s="45">
        <v>0</v>
      </c>
      <c r="W562" s="45">
        <v>12.75</v>
      </c>
    </row>
    <row r="563" spans="4:23" x14ac:dyDescent="0.15">
      <c r="D563" s="40" t="s">
        <v>1300</v>
      </c>
      <c r="E563" s="40" t="s">
        <v>1020</v>
      </c>
      <c r="F563" s="40" t="s">
        <v>1021</v>
      </c>
      <c r="G563" s="40">
        <v>5</v>
      </c>
      <c r="H563" s="41">
        <v>40513.492361111108</v>
      </c>
      <c r="I563" s="40">
        <v>1.65</v>
      </c>
      <c r="J563" s="40">
        <v>17920</v>
      </c>
      <c r="K563" s="40" t="s">
        <v>71</v>
      </c>
      <c r="L563" s="42">
        <v>8.25</v>
      </c>
      <c r="M563" s="40" t="s">
        <v>721</v>
      </c>
      <c r="N563" s="40">
        <v>2010</v>
      </c>
      <c r="O563" s="40" t="s">
        <v>83</v>
      </c>
      <c r="P563" s="40" t="s">
        <v>126</v>
      </c>
      <c r="Q563" s="40" t="s">
        <v>624</v>
      </c>
      <c r="R563" s="40">
        <v>11</v>
      </c>
      <c r="S563" s="40" t="b">
        <v>0</v>
      </c>
      <c r="T563" s="40" t="b">
        <v>1</v>
      </c>
      <c r="U563" s="42">
        <f t="shared" si="8"/>
        <v>8.25</v>
      </c>
      <c r="V563" s="42">
        <v>0</v>
      </c>
      <c r="W563" s="42">
        <v>8.25</v>
      </c>
    </row>
    <row r="564" spans="4:23" x14ac:dyDescent="0.15">
      <c r="D564" s="43" t="s">
        <v>1300</v>
      </c>
      <c r="E564" s="43" t="s">
        <v>1313</v>
      </c>
      <c r="F564" s="43" t="s">
        <v>1314</v>
      </c>
      <c r="G564" s="43">
        <v>1</v>
      </c>
      <c r="H564" s="44">
        <v>40513.492361111108</v>
      </c>
      <c r="I564" s="43">
        <v>1.65</v>
      </c>
      <c r="J564" s="43">
        <v>17920</v>
      </c>
      <c r="K564" s="43" t="s">
        <v>71</v>
      </c>
      <c r="L564" s="45">
        <v>1.65</v>
      </c>
      <c r="M564" s="43" t="s">
        <v>721</v>
      </c>
      <c r="N564" s="43">
        <v>2010</v>
      </c>
      <c r="O564" s="43" t="s">
        <v>83</v>
      </c>
      <c r="P564" s="43" t="s">
        <v>126</v>
      </c>
      <c r="Q564" s="43" t="s">
        <v>624</v>
      </c>
      <c r="R564" s="43">
        <v>11</v>
      </c>
      <c r="S564" s="43" t="b">
        <v>0</v>
      </c>
      <c r="T564" s="43" t="b">
        <v>1</v>
      </c>
      <c r="U564" s="45">
        <f t="shared" si="8"/>
        <v>1.65</v>
      </c>
      <c r="V564" s="45">
        <v>0</v>
      </c>
      <c r="W564" s="45">
        <v>1.65</v>
      </c>
    </row>
    <row r="565" spans="4:23" x14ac:dyDescent="0.15">
      <c r="D565" s="40" t="s">
        <v>1300</v>
      </c>
      <c r="E565" s="40" t="s">
        <v>1315</v>
      </c>
      <c r="F565" s="40" t="s">
        <v>1316</v>
      </c>
      <c r="G565" s="40">
        <v>10</v>
      </c>
      <c r="H565" s="41">
        <v>40513.492361111108</v>
      </c>
      <c r="I565" s="40">
        <v>0.65</v>
      </c>
      <c r="J565" s="40">
        <v>17920</v>
      </c>
      <c r="K565" s="40" t="s">
        <v>71</v>
      </c>
      <c r="L565" s="42">
        <v>6.5</v>
      </c>
      <c r="M565" s="40" t="s">
        <v>721</v>
      </c>
      <c r="N565" s="40">
        <v>2010</v>
      </c>
      <c r="O565" s="40" t="s">
        <v>83</v>
      </c>
      <c r="P565" s="40" t="s">
        <v>126</v>
      </c>
      <c r="Q565" s="40" t="s">
        <v>624</v>
      </c>
      <c r="R565" s="40">
        <v>11</v>
      </c>
      <c r="S565" s="40" t="b">
        <v>0</v>
      </c>
      <c r="T565" s="40" t="b">
        <v>1</v>
      </c>
      <c r="U565" s="42">
        <f t="shared" si="8"/>
        <v>6.5</v>
      </c>
      <c r="V565" s="42">
        <v>0</v>
      </c>
      <c r="W565" s="42">
        <v>6.5</v>
      </c>
    </row>
    <row r="566" spans="4:23" x14ac:dyDescent="0.15">
      <c r="D566" s="43" t="s">
        <v>1300</v>
      </c>
      <c r="E566" s="43" t="s">
        <v>1317</v>
      </c>
      <c r="F566" s="43" t="s">
        <v>1318</v>
      </c>
      <c r="G566" s="43">
        <v>1</v>
      </c>
      <c r="H566" s="44">
        <v>40513.492361111108</v>
      </c>
      <c r="I566" s="43">
        <v>2.95</v>
      </c>
      <c r="J566" s="43">
        <v>17920</v>
      </c>
      <c r="K566" s="43" t="s">
        <v>71</v>
      </c>
      <c r="L566" s="45">
        <v>2.95</v>
      </c>
      <c r="M566" s="43" t="s">
        <v>721</v>
      </c>
      <c r="N566" s="43">
        <v>2010</v>
      </c>
      <c r="O566" s="43" t="s">
        <v>83</v>
      </c>
      <c r="P566" s="43" t="s">
        <v>126</v>
      </c>
      <c r="Q566" s="43" t="s">
        <v>624</v>
      </c>
      <c r="R566" s="43">
        <v>11</v>
      </c>
      <c r="S566" s="43" t="b">
        <v>0</v>
      </c>
      <c r="T566" s="43" t="b">
        <v>1</v>
      </c>
      <c r="U566" s="45">
        <f t="shared" si="8"/>
        <v>2.95</v>
      </c>
      <c r="V566" s="45">
        <v>0</v>
      </c>
      <c r="W566" s="45">
        <v>2.95</v>
      </c>
    </row>
    <row r="567" spans="4:23" x14ac:dyDescent="0.15">
      <c r="D567" s="40" t="s">
        <v>1300</v>
      </c>
      <c r="E567" s="40" t="s">
        <v>374</v>
      </c>
      <c r="F567" s="40" t="s">
        <v>375</v>
      </c>
      <c r="G567" s="40">
        <v>1</v>
      </c>
      <c r="H567" s="41">
        <v>40513.492361111108</v>
      </c>
      <c r="I567" s="40">
        <v>1.65</v>
      </c>
      <c r="J567" s="40">
        <v>17920</v>
      </c>
      <c r="K567" s="40" t="s">
        <v>71</v>
      </c>
      <c r="L567" s="42">
        <v>1.65</v>
      </c>
      <c r="M567" s="40" t="s">
        <v>721</v>
      </c>
      <c r="N567" s="40">
        <v>2010</v>
      </c>
      <c r="O567" s="40" t="s">
        <v>83</v>
      </c>
      <c r="P567" s="40" t="s">
        <v>126</v>
      </c>
      <c r="Q567" s="40" t="s">
        <v>624</v>
      </c>
      <c r="R567" s="40">
        <v>11</v>
      </c>
      <c r="S567" s="40" t="b">
        <v>0</v>
      </c>
      <c r="T567" s="40" t="b">
        <v>1</v>
      </c>
      <c r="U567" s="42">
        <f t="shared" si="8"/>
        <v>1.65</v>
      </c>
      <c r="V567" s="42">
        <v>0</v>
      </c>
      <c r="W567" s="42">
        <v>1.65</v>
      </c>
    </row>
    <row r="568" spans="4:23" x14ac:dyDescent="0.15">
      <c r="D568" s="43" t="s">
        <v>1300</v>
      </c>
      <c r="E568" s="43" t="s">
        <v>1059</v>
      </c>
      <c r="F568" s="43" t="s">
        <v>1060</v>
      </c>
      <c r="G568" s="43">
        <v>3</v>
      </c>
      <c r="H568" s="44">
        <v>40513.492361111108</v>
      </c>
      <c r="I568" s="43">
        <v>1.25</v>
      </c>
      <c r="J568" s="43">
        <v>17920</v>
      </c>
      <c r="K568" s="43" t="s">
        <v>71</v>
      </c>
      <c r="L568" s="45">
        <v>3.75</v>
      </c>
      <c r="M568" s="43" t="s">
        <v>721</v>
      </c>
      <c r="N568" s="43">
        <v>2010</v>
      </c>
      <c r="O568" s="43" t="s">
        <v>83</v>
      </c>
      <c r="P568" s="43" t="s">
        <v>126</v>
      </c>
      <c r="Q568" s="43" t="s">
        <v>624</v>
      </c>
      <c r="R568" s="43">
        <v>11</v>
      </c>
      <c r="S568" s="43" t="b">
        <v>0</v>
      </c>
      <c r="T568" s="43" t="b">
        <v>1</v>
      </c>
      <c r="U568" s="45">
        <f t="shared" si="8"/>
        <v>3.75</v>
      </c>
      <c r="V568" s="45">
        <v>0</v>
      </c>
      <c r="W568" s="45">
        <v>3.75</v>
      </c>
    </row>
    <row r="569" spans="4:23" x14ac:dyDescent="0.15">
      <c r="D569" s="40" t="s">
        <v>1300</v>
      </c>
      <c r="E569" s="40" t="s">
        <v>251</v>
      </c>
      <c r="F569" s="40" t="s">
        <v>252</v>
      </c>
      <c r="G569" s="40">
        <v>24</v>
      </c>
      <c r="H569" s="41">
        <v>40513.492361111108</v>
      </c>
      <c r="I569" s="40">
        <v>1.45</v>
      </c>
      <c r="J569" s="40">
        <v>17920</v>
      </c>
      <c r="K569" s="40" t="s">
        <v>71</v>
      </c>
      <c r="L569" s="42">
        <v>34.799999999999997</v>
      </c>
      <c r="M569" s="40" t="s">
        <v>721</v>
      </c>
      <c r="N569" s="40">
        <v>2010</v>
      </c>
      <c r="O569" s="40" t="s">
        <v>83</v>
      </c>
      <c r="P569" s="40" t="s">
        <v>126</v>
      </c>
      <c r="Q569" s="40" t="s">
        <v>624</v>
      </c>
      <c r="R569" s="40">
        <v>11</v>
      </c>
      <c r="S569" s="40" t="b">
        <v>0</v>
      </c>
      <c r="T569" s="40" t="b">
        <v>1</v>
      </c>
      <c r="U569" s="42">
        <f t="shared" si="8"/>
        <v>34.799999999999997</v>
      </c>
      <c r="V569" s="42">
        <v>0</v>
      </c>
      <c r="W569" s="42">
        <v>34.799999999999997</v>
      </c>
    </row>
    <row r="570" spans="4:23" x14ac:dyDescent="0.15">
      <c r="D570" s="43" t="s">
        <v>1300</v>
      </c>
      <c r="E570" s="43" t="s">
        <v>1319</v>
      </c>
      <c r="F570" s="43" t="s">
        <v>1320</v>
      </c>
      <c r="G570" s="43">
        <v>2</v>
      </c>
      <c r="H570" s="44">
        <v>40513.492361111108</v>
      </c>
      <c r="I570" s="43">
        <v>1.65</v>
      </c>
      <c r="J570" s="43">
        <v>17920</v>
      </c>
      <c r="K570" s="43" t="s">
        <v>71</v>
      </c>
      <c r="L570" s="45">
        <v>3.3</v>
      </c>
      <c r="M570" s="43" t="s">
        <v>721</v>
      </c>
      <c r="N570" s="43">
        <v>2010</v>
      </c>
      <c r="O570" s="43" t="s">
        <v>83</v>
      </c>
      <c r="P570" s="43" t="s">
        <v>126</v>
      </c>
      <c r="Q570" s="43" t="s">
        <v>624</v>
      </c>
      <c r="R570" s="43">
        <v>11</v>
      </c>
      <c r="S570" s="43" t="b">
        <v>0</v>
      </c>
      <c r="T570" s="43" t="b">
        <v>1</v>
      </c>
      <c r="U570" s="45">
        <f t="shared" si="8"/>
        <v>3.3</v>
      </c>
      <c r="V570" s="45">
        <v>0</v>
      </c>
      <c r="W570" s="45">
        <v>3.3</v>
      </c>
    </row>
    <row r="571" spans="4:23" x14ac:dyDescent="0.15">
      <c r="D571" s="40" t="s">
        <v>1300</v>
      </c>
      <c r="E571" s="40" t="s">
        <v>1140</v>
      </c>
      <c r="F571" s="40" t="s">
        <v>1141</v>
      </c>
      <c r="G571" s="40">
        <v>3</v>
      </c>
      <c r="H571" s="41">
        <v>40513.492361111108</v>
      </c>
      <c r="I571" s="40">
        <v>4.6500000000000004</v>
      </c>
      <c r="J571" s="40">
        <v>17920</v>
      </c>
      <c r="K571" s="40" t="s">
        <v>71</v>
      </c>
      <c r="L571" s="42">
        <v>13.95</v>
      </c>
      <c r="M571" s="40" t="s">
        <v>721</v>
      </c>
      <c r="N571" s="40">
        <v>2010</v>
      </c>
      <c r="O571" s="40" t="s">
        <v>83</v>
      </c>
      <c r="P571" s="40" t="s">
        <v>126</v>
      </c>
      <c r="Q571" s="40" t="s">
        <v>624</v>
      </c>
      <c r="R571" s="40">
        <v>11</v>
      </c>
      <c r="S571" s="40" t="b">
        <v>0</v>
      </c>
      <c r="T571" s="40" t="b">
        <v>1</v>
      </c>
      <c r="U571" s="42">
        <f t="shared" si="8"/>
        <v>13.95</v>
      </c>
      <c r="V571" s="42">
        <v>0</v>
      </c>
      <c r="W571" s="42">
        <v>13.95</v>
      </c>
    </row>
    <row r="572" spans="4:23" x14ac:dyDescent="0.15">
      <c r="D572" s="43" t="s">
        <v>1300</v>
      </c>
      <c r="E572" s="43" t="s">
        <v>738</v>
      </c>
      <c r="F572" s="43" t="s">
        <v>739</v>
      </c>
      <c r="G572" s="43">
        <v>2</v>
      </c>
      <c r="H572" s="44">
        <v>40513.492361111108</v>
      </c>
      <c r="I572" s="43">
        <v>3.75</v>
      </c>
      <c r="J572" s="43">
        <v>17920</v>
      </c>
      <c r="K572" s="43" t="s">
        <v>71</v>
      </c>
      <c r="L572" s="45">
        <v>7.5</v>
      </c>
      <c r="M572" s="43" t="s">
        <v>721</v>
      </c>
      <c r="N572" s="43">
        <v>2010</v>
      </c>
      <c r="O572" s="43" t="s">
        <v>83</v>
      </c>
      <c r="P572" s="43" t="s">
        <v>126</v>
      </c>
      <c r="Q572" s="43" t="s">
        <v>624</v>
      </c>
      <c r="R572" s="43">
        <v>11</v>
      </c>
      <c r="S572" s="43" t="b">
        <v>0</v>
      </c>
      <c r="T572" s="43" t="b">
        <v>1</v>
      </c>
      <c r="U572" s="45">
        <f t="shared" si="8"/>
        <v>7.5</v>
      </c>
      <c r="V572" s="45">
        <v>0</v>
      </c>
      <c r="W572" s="45">
        <v>7.5</v>
      </c>
    </row>
    <row r="573" spans="4:23" x14ac:dyDescent="0.15">
      <c r="D573" s="40" t="s">
        <v>1300</v>
      </c>
      <c r="E573" s="40" t="s">
        <v>1311</v>
      </c>
      <c r="F573" s="40" t="s">
        <v>1312</v>
      </c>
      <c r="G573" s="40">
        <v>1</v>
      </c>
      <c r="H573" s="41">
        <v>40513.492361111108</v>
      </c>
      <c r="I573" s="40">
        <v>4.25</v>
      </c>
      <c r="J573" s="40">
        <v>17920</v>
      </c>
      <c r="K573" s="40" t="s">
        <v>71</v>
      </c>
      <c r="L573" s="42">
        <v>4.25</v>
      </c>
      <c r="M573" s="40" t="s">
        <v>721</v>
      </c>
      <c r="N573" s="40">
        <v>2010</v>
      </c>
      <c r="O573" s="40" t="s">
        <v>83</v>
      </c>
      <c r="P573" s="40" t="s">
        <v>126</v>
      </c>
      <c r="Q573" s="40" t="s">
        <v>624</v>
      </c>
      <c r="R573" s="40">
        <v>11</v>
      </c>
      <c r="S573" s="40" t="b">
        <v>0</v>
      </c>
      <c r="T573" s="40" t="b">
        <v>1</v>
      </c>
      <c r="U573" s="42">
        <f t="shared" si="8"/>
        <v>4.25</v>
      </c>
      <c r="V573" s="42">
        <v>0</v>
      </c>
      <c r="W573" s="42">
        <v>4.25</v>
      </c>
    </row>
    <row r="574" spans="4:23" x14ac:dyDescent="0.15">
      <c r="D574" s="43" t="s">
        <v>1300</v>
      </c>
      <c r="E574" s="43" t="s">
        <v>738</v>
      </c>
      <c r="F574" s="43" t="s">
        <v>739</v>
      </c>
      <c r="G574" s="43">
        <v>1</v>
      </c>
      <c r="H574" s="44">
        <v>40513.492361111108</v>
      </c>
      <c r="I574" s="43">
        <v>3.75</v>
      </c>
      <c r="J574" s="43">
        <v>17920</v>
      </c>
      <c r="K574" s="43" t="s">
        <v>71</v>
      </c>
      <c r="L574" s="45">
        <v>3.75</v>
      </c>
      <c r="M574" s="43" t="s">
        <v>721</v>
      </c>
      <c r="N574" s="43">
        <v>2010</v>
      </c>
      <c r="O574" s="43" t="s">
        <v>83</v>
      </c>
      <c r="P574" s="43" t="s">
        <v>126</v>
      </c>
      <c r="Q574" s="43" t="s">
        <v>624</v>
      </c>
      <c r="R574" s="43">
        <v>11</v>
      </c>
      <c r="S574" s="43" t="b">
        <v>0</v>
      </c>
      <c r="T574" s="43" t="b">
        <v>1</v>
      </c>
      <c r="U574" s="45">
        <f t="shared" si="8"/>
        <v>3.75</v>
      </c>
      <c r="V574" s="45">
        <v>0</v>
      </c>
      <c r="W574" s="45">
        <v>3.75</v>
      </c>
    </row>
    <row r="575" spans="4:23" x14ac:dyDescent="0.15">
      <c r="D575" s="40" t="s">
        <v>1300</v>
      </c>
      <c r="E575" s="40" t="s">
        <v>374</v>
      </c>
      <c r="F575" s="40" t="s">
        <v>375</v>
      </c>
      <c r="G575" s="40">
        <v>2</v>
      </c>
      <c r="H575" s="41">
        <v>40513.492361111108</v>
      </c>
      <c r="I575" s="40">
        <v>1.65</v>
      </c>
      <c r="J575" s="40">
        <v>17920</v>
      </c>
      <c r="K575" s="40" t="s">
        <v>71</v>
      </c>
      <c r="L575" s="42">
        <v>3.3</v>
      </c>
      <c r="M575" s="40" t="s">
        <v>721</v>
      </c>
      <c r="N575" s="40">
        <v>2010</v>
      </c>
      <c r="O575" s="40" t="s">
        <v>83</v>
      </c>
      <c r="P575" s="40" t="s">
        <v>126</v>
      </c>
      <c r="Q575" s="40" t="s">
        <v>624</v>
      </c>
      <c r="R575" s="40">
        <v>11</v>
      </c>
      <c r="S575" s="40" t="b">
        <v>0</v>
      </c>
      <c r="T575" s="40" t="b">
        <v>1</v>
      </c>
      <c r="U575" s="42">
        <f t="shared" si="8"/>
        <v>3.3</v>
      </c>
      <c r="V575" s="42">
        <v>0</v>
      </c>
      <c r="W575" s="42">
        <v>3.3</v>
      </c>
    </row>
    <row r="576" spans="4:23" x14ac:dyDescent="0.15">
      <c r="D576" s="43" t="s">
        <v>1300</v>
      </c>
      <c r="E576" s="43" t="s">
        <v>1317</v>
      </c>
      <c r="F576" s="43" t="s">
        <v>1318</v>
      </c>
      <c r="G576" s="43">
        <v>2</v>
      </c>
      <c r="H576" s="44">
        <v>40513.492361111108</v>
      </c>
      <c r="I576" s="43">
        <v>2.95</v>
      </c>
      <c r="J576" s="43">
        <v>17920</v>
      </c>
      <c r="K576" s="43" t="s">
        <v>71</v>
      </c>
      <c r="L576" s="45">
        <v>5.9</v>
      </c>
      <c r="M576" s="43" t="s">
        <v>721</v>
      </c>
      <c r="N576" s="43">
        <v>2010</v>
      </c>
      <c r="O576" s="43" t="s">
        <v>83</v>
      </c>
      <c r="P576" s="43" t="s">
        <v>126</v>
      </c>
      <c r="Q576" s="43" t="s">
        <v>624</v>
      </c>
      <c r="R576" s="43">
        <v>11</v>
      </c>
      <c r="S576" s="43" t="b">
        <v>0</v>
      </c>
      <c r="T576" s="43" t="b">
        <v>1</v>
      </c>
      <c r="U576" s="45">
        <f t="shared" si="8"/>
        <v>5.9</v>
      </c>
      <c r="V576" s="45">
        <v>0</v>
      </c>
      <c r="W576" s="45">
        <v>5.9</v>
      </c>
    </row>
    <row r="577" spans="4:23" x14ac:dyDescent="0.15">
      <c r="D577" s="40" t="s">
        <v>1300</v>
      </c>
      <c r="E577" s="40" t="s">
        <v>1059</v>
      </c>
      <c r="F577" s="40" t="s">
        <v>1060</v>
      </c>
      <c r="G577" s="40">
        <v>1</v>
      </c>
      <c r="H577" s="41">
        <v>40513.492361111108</v>
      </c>
      <c r="I577" s="40">
        <v>1.25</v>
      </c>
      <c r="J577" s="40">
        <v>17920</v>
      </c>
      <c r="K577" s="40" t="s">
        <v>71</v>
      </c>
      <c r="L577" s="42">
        <v>1.25</v>
      </c>
      <c r="M577" s="40" t="s">
        <v>721</v>
      </c>
      <c r="N577" s="40">
        <v>2010</v>
      </c>
      <c r="O577" s="40" t="s">
        <v>83</v>
      </c>
      <c r="P577" s="40" t="s">
        <v>126</v>
      </c>
      <c r="Q577" s="40" t="s">
        <v>624</v>
      </c>
      <c r="R577" s="40">
        <v>11</v>
      </c>
      <c r="S577" s="40" t="b">
        <v>0</v>
      </c>
      <c r="T577" s="40" t="b">
        <v>1</v>
      </c>
      <c r="U577" s="42">
        <f t="shared" si="8"/>
        <v>1.25</v>
      </c>
      <c r="V577" s="42">
        <v>0</v>
      </c>
      <c r="W577" s="42">
        <v>1.25</v>
      </c>
    </row>
    <row r="578" spans="4:23" x14ac:dyDescent="0.15">
      <c r="D578" s="43" t="s">
        <v>1300</v>
      </c>
      <c r="E578" s="43" t="s">
        <v>1321</v>
      </c>
      <c r="F578" s="43" t="s">
        <v>1322</v>
      </c>
      <c r="G578" s="43">
        <v>6</v>
      </c>
      <c r="H578" s="44">
        <v>40513.492361111108</v>
      </c>
      <c r="I578" s="43">
        <v>1.65</v>
      </c>
      <c r="J578" s="43">
        <v>17920</v>
      </c>
      <c r="K578" s="43" t="s">
        <v>71</v>
      </c>
      <c r="L578" s="45">
        <v>9.8999999999999986</v>
      </c>
      <c r="M578" s="43" t="s">
        <v>721</v>
      </c>
      <c r="N578" s="43">
        <v>2010</v>
      </c>
      <c r="O578" s="43" t="s">
        <v>83</v>
      </c>
      <c r="P578" s="43" t="s">
        <v>126</v>
      </c>
      <c r="Q578" s="43" t="s">
        <v>624</v>
      </c>
      <c r="R578" s="43">
        <v>11</v>
      </c>
      <c r="S578" s="43" t="b">
        <v>0</v>
      </c>
      <c r="T578" s="43" t="b">
        <v>1</v>
      </c>
      <c r="U578" s="45">
        <f t="shared" si="8"/>
        <v>9.8999999999999986</v>
      </c>
      <c r="V578" s="45">
        <v>0</v>
      </c>
      <c r="W578" s="45">
        <v>9.8999999999999986</v>
      </c>
    </row>
    <row r="579" spans="4:23" x14ac:dyDescent="0.15">
      <c r="D579" s="40" t="s">
        <v>1300</v>
      </c>
      <c r="E579" s="40" t="s">
        <v>1323</v>
      </c>
      <c r="F579" s="40" t="s">
        <v>1324</v>
      </c>
      <c r="G579" s="40">
        <v>1</v>
      </c>
      <c r="H579" s="41">
        <v>40513.492361111108</v>
      </c>
      <c r="I579" s="40">
        <v>2.1</v>
      </c>
      <c r="J579" s="40">
        <v>17920</v>
      </c>
      <c r="K579" s="40" t="s">
        <v>71</v>
      </c>
      <c r="L579" s="42">
        <v>2.1</v>
      </c>
      <c r="M579" s="40" t="s">
        <v>721</v>
      </c>
      <c r="N579" s="40">
        <v>2010</v>
      </c>
      <c r="O579" s="40" t="s">
        <v>83</v>
      </c>
      <c r="P579" s="40" t="s">
        <v>126</v>
      </c>
      <c r="Q579" s="40" t="s">
        <v>624</v>
      </c>
      <c r="R579" s="40">
        <v>11</v>
      </c>
      <c r="S579" s="40" t="b">
        <v>0</v>
      </c>
      <c r="T579" s="40" t="b">
        <v>1</v>
      </c>
      <c r="U579" s="42">
        <f t="shared" si="8"/>
        <v>2.1</v>
      </c>
      <c r="V579" s="42">
        <v>0</v>
      </c>
      <c r="W579" s="42">
        <v>2.1</v>
      </c>
    </row>
    <row r="580" spans="4:23" x14ac:dyDescent="0.15">
      <c r="D580" s="43" t="s">
        <v>1300</v>
      </c>
      <c r="E580" s="43" t="s">
        <v>1325</v>
      </c>
      <c r="F580" s="43" t="s">
        <v>1326</v>
      </c>
      <c r="G580" s="43">
        <v>2</v>
      </c>
      <c r="H580" s="44">
        <v>40513.492361111108</v>
      </c>
      <c r="I580" s="43">
        <v>2.1</v>
      </c>
      <c r="J580" s="43">
        <v>17920</v>
      </c>
      <c r="K580" s="43" t="s">
        <v>71</v>
      </c>
      <c r="L580" s="45">
        <v>4.2</v>
      </c>
      <c r="M580" s="43" t="s">
        <v>721</v>
      </c>
      <c r="N580" s="43">
        <v>2010</v>
      </c>
      <c r="O580" s="43" t="s">
        <v>83</v>
      </c>
      <c r="P580" s="43" t="s">
        <v>126</v>
      </c>
      <c r="Q580" s="43" t="s">
        <v>624</v>
      </c>
      <c r="R580" s="43">
        <v>11</v>
      </c>
      <c r="S580" s="43" t="b">
        <v>0</v>
      </c>
      <c r="T580" s="43" t="b">
        <v>1</v>
      </c>
      <c r="U580" s="45">
        <f t="shared" si="8"/>
        <v>4.2</v>
      </c>
      <c r="V580" s="45">
        <v>0</v>
      </c>
      <c r="W580" s="45">
        <v>4.2</v>
      </c>
    </row>
    <row r="581" spans="4:23" x14ac:dyDescent="0.15">
      <c r="D581" s="40" t="s">
        <v>1300</v>
      </c>
      <c r="E581" s="40" t="s">
        <v>1321</v>
      </c>
      <c r="F581" s="40" t="s">
        <v>1322</v>
      </c>
      <c r="G581" s="40">
        <v>3</v>
      </c>
      <c r="H581" s="41">
        <v>40513.492361111108</v>
      </c>
      <c r="I581" s="40">
        <v>1.65</v>
      </c>
      <c r="J581" s="40">
        <v>17920</v>
      </c>
      <c r="K581" s="40" t="s">
        <v>71</v>
      </c>
      <c r="L581" s="42">
        <v>4.9499999999999993</v>
      </c>
      <c r="M581" s="40" t="s">
        <v>721</v>
      </c>
      <c r="N581" s="40">
        <v>2010</v>
      </c>
      <c r="O581" s="40" t="s">
        <v>83</v>
      </c>
      <c r="P581" s="40" t="s">
        <v>126</v>
      </c>
      <c r="Q581" s="40" t="s">
        <v>624</v>
      </c>
      <c r="R581" s="40">
        <v>11</v>
      </c>
      <c r="S581" s="40" t="b">
        <v>0</v>
      </c>
      <c r="T581" s="40" t="b">
        <v>1</v>
      </c>
      <c r="U581" s="42">
        <f t="shared" ref="U581:U644" si="9">IF(T581,L581,0)</f>
        <v>4.9499999999999993</v>
      </c>
      <c r="V581" s="42">
        <v>0</v>
      </c>
      <c r="W581" s="42">
        <v>4.9499999999999993</v>
      </c>
    </row>
    <row r="582" spans="4:23" x14ac:dyDescent="0.15">
      <c r="D582" s="43" t="s">
        <v>1300</v>
      </c>
      <c r="E582" s="43" t="s">
        <v>374</v>
      </c>
      <c r="F582" s="43" t="s">
        <v>375</v>
      </c>
      <c r="G582" s="43">
        <v>7</v>
      </c>
      <c r="H582" s="44">
        <v>40513.492361111108</v>
      </c>
      <c r="I582" s="43">
        <v>1.65</v>
      </c>
      <c r="J582" s="43">
        <v>17920</v>
      </c>
      <c r="K582" s="43" t="s">
        <v>71</v>
      </c>
      <c r="L582" s="45">
        <v>11.55</v>
      </c>
      <c r="M582" s="43" t="s">
        <v>721</v>
      </c>
      <c r="N582" s="43">
        <v>2010</v>
      </c>
      <c r="O582" s="43" t="s">
        <v>83</v>
      </c>
      <c r="P582" s="43" t="s">
        <v>126</v>
      </c>
      <c r="Q582" s="43" t="s">
        <v>624</v>
      </c>
      <c r="R582" s="43">
        <v>11</v>
      </c>
      <c r="S582" s="43" t="b">
        <v>0</v>
      </c>
      <c r="T582" s="43" t="b">
        <v>1</v>
      </c>
      <c r="U582" s="45">
        <f t="shared" si="9"/>
        <v>11.55</v>
      </c>
      <c r="V582" s="45">
        <v>0</v>
      </c>
      <c r="W582" s="45">
        <v>11.55</v>
      </c>
    </row>
    <row r="583" spans="4:23" x14ac:dyDescent="0.15">
      <c r="D583" s="40" t="s">
        <v>1300</v>
      </c>
      <c r="E583" s="40" t="s">
        <v>1319</v>
      </c>
      <c r="F583" s="40" t="s">
        <v>1320</v>
      </c>
      <c r="G583" s="40">
        <v>1</v>
      </c>
      <c r="H583" s="41">
        <v>40513.492361111108</v>
      </c>
      <c r="I583" s="40">
        <v>1.65</v>
      </c>
      <c r="J583" s="40">
        <v>17920</v>
      </c>
      <c r="K583" s="40" t="s">
        <v>71</v>
      </c>
      <c r="L583" s="42">
        <v>1.65</v>
      </c>
      <c r="M583" s="40" t="s">
        <v>721</v>
      </c>
      <c r="N583" s="40">
        <v>2010</v>
      </c>
      <c r="O583" s="40" t="s">
        <v>83</v>
      </c>
      <c r="P583" s="40" t="s">
        <v>126</v>
      </c>
      <c r="Q583" s="40" t="s">
        <v>624</v>
      </c>
      <c r="R583" s="40">
        <v>11</v>
      </c>
      <c r="S583" s="40" t="b">
        <v>0</v>
      </c>
      <c r="T583" s="40" t="b">
        <v>1</v>
      </c>
      <c r="U583" s="42">
        <f t="shared" si="9"/>
        <v>1.65</v>
      </c>
      <c r="V583" s="42">
        <v>0</v>
      </c>
      <c r="W583" s="42">
        <v>1.65</v>
      </c>
    </row>
    <row r="584" spans="4:23" x14ac:dyDescent="0.15">
      <c r="D584" s="43" t="s">
        <v>1300</v>
      </c>
      <c r="E584" s="43" t="s">
        <v>1313</v>
      </c>
      <c r="F584" s="43" t="s">
        <v>1314</v>
      </c>
      <c r="G584" s="43">
        <v>5</v>
      </c>
      <c r="H584" s="44">
        <v>40513.492361111108</v>
      </c>
      <c r="I584" s="43">
        <v>1.65</v>
      </c>
      <c r="J584" s="43">
        <v>17920</v>
      </c>
      <c r="K584" s="43" t="s">
        <v>71</v>
      </c>
      <c r="L584" s="45">
        <v>8.25</v>
      </c>
      <c r="M584" s="43" t="s">
        <v>721</v>
      </c>
      <c r="N584" s="43">
        <v>2010</v>
      </c>
      <c r="O584" s="43" t="s">
        <v>83</v>
      </c>
      <c r="P584" s="43" t="s">
        <v>126</v>
      </c>
      <c r="Q584" s="43" t="s">
        <v>624</v>
      </c>
      <c r="R584" s="43">
        <v>11</v>
      </c>
      <c r="S584" s="43" t="b">
        <v>0</v>
      </c>
      <c r="T584" s="43" t="b">
        <v>1</v>
      </c>
      <c r="U584" s="45">
        <f t="shared" si="9"/>
        <v>8.25</v>
      </c>
      <c r="V584" s="45">
        <v>0</v>
      </c>
      <c r="W584" s="45">
        <v>8.25</v>
      </c>
    </row>
    <row r="585" spans="4:23" x14ac:dyDescent="0.15">
      <c r="D585" s="40" t="s">
        <v>1300</v>
      </c>
      <c r="E585" s="40" t="s">
        <v>939</v>
      </c>
      <c r="F585" s="40" t="s">
        <v>940</v>
      </c>
      <c r="G585" s="40">
        <v>5</v>
      </c>
      <c r="H585" s="41">
        <v>40513.492361111108</v>
      </c>
      <c r="I585" s="40">
        <v>1.65</v>
      </c>
      <c r="J585" s="40">
        <v>17920</v>
      </c>
      <c r="K585" s="40" t="s">
        <v>71</v>
      </c>
      <c r="L585" s="42">
        <v>8.25</v>
      </c>
      <c r="M585" s="40" t="s">
        <v>721</v>
      </c>
      <c r="N585" s="40">
        <v>2010</v>
      </c>
      <c r="O585" s="40" t="s">
        <v>83</v>
      </c>
      <c r="P585" s="40" t="s">
        <v>126</v>
      </c>
      <c r="Q585" s="40" t="s">
        <v>624</v>
      </c>
      <c r="R585" s="40">
        <v>11</v>
      </c>
      <c r="S585" s="40" t="b">
        <v>0</v>
      </c>
      <c r="T585" s="40" t="b">
        <v>1</v>
      </c>
      <c r="U585" s="42">
        <f t="shared" si="9"/>
        <v>8.25</v>
      </c>
      <c r="V585" s="42">
        <v>0</v>
      </c>
      <c r="W585" s="42">
        <v>8.25</v>
      </c>
    </row>
    <row r="586" spans="4:23" x14ac:dyDescent="0.15">
      <c r="D586" s="43" t="s">
        <v>1300</v>
      </c>
      <c r="E586" s="43" t="s">
        <v>1059</v>
      </c>
      <c r="F586" s="43" t="s">
        <v>1060</v>
      </c>
      <c r="G586" s="43">
        <v>12</v>
      </c>
      <c r="H586" s="44">
        <v>40513.492361111108</v>
      </c>
      <c r="I586" s="43">
        <v>1.25</v>
      </c>
      <c r="J586" s="43">
        <v>17920</v>
      </c>
      <c r="K586" s="43" t="s">
        <v>71</v>
      </c>
      <c r="L586" s="45">
        <v>15</v>
      </c>
      <c r="M586" s="43" t="s">
        <v>721</v>
      </c>
      <c r="N586" s="43">
        <v>2010</v>
      </c>
      <c r="O586" s="43" t="s">
        <v>83</v>
      </c>
      <c r="P586" s="43" t="s">
        <v>126</v>
      </c>
      <c r="Q586" s="43" t="s">
        <v>624</v>
      </c>
      <c r="R586" s="43">
        <v>11</v>
      </c>
      <c r="S586" s="43" t="b">
        <v>0</v>
      </c>
      <c r="T586" s="43" t="b">
        <v>1</v>
      </c>
      <c r="U586" s="45">
        <f t="shared" si="9"/>
        <v>15</v>
      </c>
      <c r="V586" s="45">
        <v>0</v>
      </c>
      <c r="W586" s="45">
        <v>15</v>
      </c>
    </row>
    <row r="587" spans="4:23" x14ac:dyDescent="0.15">
      <c r="D587" s="40" t="s">
        <v>1300</v>
      </c>
      <c r="E587" s="40" t="s">
        <v>273</v>
      </c>
      <c r="F587" s="40" t="s">
        <v>274</v>
      </c>
      <c r="G587" s="40">
        <v>5</v>
      </c>
      <c r="H587" s="41">
        <v>40513.492361111108</v>
      </c>
      <c r="I587" s="40">
        <v>1.65</v>
      </c>
      <c r="J587" s="40">
        <v>17920</v>
      </c>
      <c r="K587" s="40" t="s">
        <v>71</v>
      </c>
      <c r="L587" s="42">
        <v>8.25</v>
      </c>
      <c r="M587" s="40" t="s">
        <v>721</v>
      </c>
      <c r="N587" s="40">
        <v>2010</v>
      </c>
      <c r="O587" s="40" t="s">
        <v>83</v>
      </c>
      <c r="P587" s="40" t="s">
        <v>126</v>
      </c>
      <c r="Q587" s="40" t="s">
        <v>624</v>
      </c>
      <c r="R587" s="40">
        <v>11</v>
      </c>
      <c r="S587" s="40" t="b">
        <v>0</v>
      </c>
      <c r="T587" s="40" t="b">
        <v>1</v>
      </c>
      <c r="U587" s="42">
        <f t="shared" si="9"/>
        <v>8.25</v>
      </c>
      <c r="V587" s="42">
        <v>0</v>
      </c>
      <c r="W587" s="42">
        <v>8.25</v>
      </c>
    </row>
    <row r="588" spans="4:23" x14ac:dyDescent="0.15">
      <c r="D588" s="43" t="s">
        <v>1300</v>
      </c>
      <c r="E588" s="43" t="s">
        <v>1321</v>
      </c>
      <c r="F588" s="43" t="s">
        <v>1322</v>
      </c>
      <c r="G588" s="43">
        <v>1</v>
      </c>
      <c r="H588" s="44">
        <v>40513.492361111108</v>
      </c>
      <c r="I588" s="43">
        <v>1.65</v>
      </c>
      <c r="J588" s="43">
        <v>17920</v>
      </c>
      <c r="K588" s="43" t="s">
        <v>71</v>
      </c>
      <c r="L588" s="45">
        <v>1.65</v>
      </c>
      <c r="M588" s="43" t="s">
        <v>721</v>
      </c>
      <c r="N588" s="43">
        <v>2010</v>
      </c>
      <c r="O588" s="43" t="s">
        <v>83</v>
      </c>
      <c r="P588" s="43" t="s">
        <v>126</v>
      </c>
      <c r="Q588" s="43" t="s">
        <v>624</v>
      </c>
      <c r="R588" s="43">
        <v>11</v>
      </c>
      <c r="S588" s="43" t="b">
        <v>0</v>
      </c>
      <c r="T588" s="43" t="b">
        <v>1</v>
      </c>
      <c r="U588" s="45">
        <f t="shared" si="9"/>
        <v>1.65</v>
      </c>
      <c r="V588" s="45">
        <v>0</v>
      </c>
      <c r="W588" s="45">
        <v>1.65</v>
      </c>
    </row>
    <row r="589" spans="4:23" x14ac:dyDescent="0.15">
      <c r="D589" s="40" t="s">
        <v>1300</v>
      </c>
      <c r="E589" s="40" t="s">
        <v>1327</v>
      </c>
      <c r="F589" s="40" t="s">
        <v>1328</v>
      </c>
      <c r="G589" s="40">
        <v>2</v>
      </c>
      <c r="H589" s="41">
        <v>40513.492361111108</v>
      </c>
      <c r="I589" s="40">
        <v>2.95</v>
      </c>
      <c r="J589" s="40">
        <v>17920</v>
      </c>
      <c r="K589" s="40" t="s">
        <v>71</v>
      </c>
      <c r="L589" s="42">
        <v>5.9</v>
      </c>
      <c r="M589" s="40" t="s">
        <v>721</v>
      </c>
      <c r="N589" s="40">
        <v>2010</v>
      </c>
      <c r="O589" s="40" t="s">
        <v>83</v>
      </c>
      <c r="P589" s="40" t="s">
        <v>126</v>
      </c>
      <c r="Q589" s="40" t="s">
        <v>624</v>
      </c>
      <c r="R589" s="40">
        <v>11</v>
      </c>
      <c r="S589" s="40" t="b">
        <v>0</v>
      </c>
      <c r="T589" s="40" t="b">
        <v>1</v>
      </c>
      <c r="U589" s="42">
        <f t="shared" si="9"/>
        <v>5.9</v>
      </c>
      <c r="V589" s="42">
        <v>0</v>
      </c>
      <c r="W589" s="42">
        <v>5.9</v>
      </c>
    </row>
    <row r="590" spans="4:23" x14ac:dyDescent="0.15">
      <c r="D590" s="43" t="s">
        <v>1300</v>
      </c>
      <c r="E590" s="43" t="s">
        <v>1317</v>
      </c>
      <c r="F590" s="43" t="s">
        <v>1318</v>
      </c>
      <c r="G590" s="43">
        <v>5</v>
      </c>
      <c r="H590" s="44">
        <v>40513.492361111108</v>
      </c>
      <c r="I590" s="43">
        <v>2.95</v>
      </c>
      <c r="J590" s="43">
        <v>17920</v>
      </c>
      <c r="K590" s="43" t="s">
        <v>71</v>
      </c>
      <c r="L590" s="45">
        <v>14.75</v>
      </c>
      <c r="M590" s="43" t="s">
        <v>721</v>
      </c>
      <c r="N590" s="43">
        <v>2010</v>
      </c>
      <c r="O590" s="43" t="s">
        <v>83</v>
      </c>
      <c r="P590" s="43" t="s">
        <v>126</v>
      </c>
      <c r="Q590" s="43" t="s">
        <v>624</v>
      </c>
      <c r="R590" s="43">
        <v>11</v>
      </c>
      <c r="S590" s="43" t="b">
        <v>0</v>
      </c>
      <c r="T590" s="43" t="b">
        <v>1</v>
      </c>
      <c r="U590" s="45">
        <f t="shared" si="9"/>
        <v>14.75</v>
      </c>
      <c r="V590" s="45">
        <v>0</v>
      </c>
      <c r="W590" s="45">
        <v>14.75</v>
      </c>
    </row>
    <row r="591" spans="4:23" x14ac:dyDescent="0.15">
      <c r="D591" s="40" t="s">
        <v>1300</v>
      </c>
      <c r="E591" s="40" t="s">
        <v>1329</v>
      </c>
      <c r="F591" s="40" t="s">
        <v>1330</v>
      </c>
      <c r="G591" s="40">
        <v>2</v>
      </c>
      <c r="H591" s="41">
        <v>40513.492361111108</v>
      </c>
      <c r="I591" s="40">
        <v>2.95</v>
      </c>
      <c r="J591" s="40">
        <v>17920</v>
      </c>
      <c r="K591" s="40" t="s">
        <v>71</v>
      </c>
      <c r="L591" s="42">
        <v>5.9</v>
      </c>
      <c r="M591" s="40" t="s">
        <v>721</v>
      </c>
      <c r="N591" s="40">
        <v>2010</v>
      </c>
      <c r="O591" s="40" t="s">
        <v>83</v>
      </c>
      <c r="P591" s="40" t="s">
        <v>126</v>
      </c>
      <c r="Q591" s="40" t="s">
        <v>624</v>
      </c>
      <c r="R591" s="40">
        <v>11</v>
      </c>
      <c r="S591" s="40" t="b">
        <v>0</v>
      </c>
      <c r="T591" s="40" t="b">
        <v>1</v>
      </c>
      <c r="U591" s="42">
        <f t="shared" si="9"/>
        <v>5.9</v>
      </c>
      <c r="V591" s="42">
        <v>0</v>
      </c>
      <c r="W591" s="42">
        <v>5.9</v>
      </c>
    </row>
    <row r="592" spans="4:23" x14ac:dyDescent="0.15">
      <c r="D592" s="43" t="s">
        <v>1300</v>
      </c>
      <c r="E592" s="43" t="s">
        <v>505</v>
      </c>
      <c r="F592" s="43" t="s">
        <v>506</v>
      </c>
      <c r="G592" s="43">
        <v>1</v>
      </c>
      <c r="H592" s="44">
        <v>40513.492361111108</v>
      </c>
      <c r="I592" s="43">
        <v>2.95</v>
      </c>
      <c r="J592" s="43">
        <v>17920</v>
      </c>
      <c r="K592" s="43" t="s">
        <v>71</v>
      </c>
      <c r="L592" s="45">
        <v>2.95</v>
      </c>
      <c r="M592" s="43" t="s">
        <v>721</v>
      </c>
      <c r="N592" s="43">
        <v>2010</v>
      </c>
      <c r="O592" s="43" t="s">
        <v>83</v>
      </c>
      <c r="P592" s="43" t="s">
        <v>126</v>
      </c>
      <c r="Q592" s="43" t="s">
        <v>624</v>
      </c>
      <c r="R592" s="43">
        <v>11</v>
      </c>
      <c r="S592" s="43" t="b">
        <v>0</v>
      </c>
      <c r="T592" s="43" t="b">
        <v>1</v>
      </c>
      <c r="U592" s="45">
        <f t="shared" si="9"/>
        <v>2.95</v>
      </c>
      <c r="V592" s="45">
        <v>0</v>
      </c>
      <c r="W592" s="45">
        <v>2.95</v>
      </c>
    </row>
    <row r="593" spans="4:23" x14ac:dyDescent="0.15">
      <c r="D593" s="40" t="s">
        <v>1300</v>
      </c>
      <c r="E593" s="40" t="s">
        <v>1331</v>
      </c>
      <c r="F593" s="40" t="s">
        <v>1332</v>
      </c>
      <c r="G593" s="40">
        <v>2</v>
      </c>
      <c r="H593" s="41">
        <v>40513.492361111108</v>
      </c>
      <c r="I593" s="40">
        <v>2.95</v>
      </c>
      <c r="J593" s="40">
        <v>17920</v>
      </c>
      <c r="K593" s="40" t="s">
        <v>71</v>
      </c>
      <c r="L593" s="42">
        <v>5.9</v>
      </c>
      <c r="M593" s="40" t="s">
        <v>721</v>
      </c>
      <c r="N593" s="40">
        <v>2010</v>
      </c>
      <c r="O593" s="40" t="s">
        <v>83</v>
      </c>
      <c r="P593" s="40" t="s">
        <v>126</v>
      </c>
      <c r="Q593" s="40" t="s">
        <v>624</v>
      </c>
      <c r="R593" s="40">
        <v>11</v>
      </c>
      <c r="S593" s="40" t="b">
        <v>0</v>
      </c>
      <c r="T593" s="40" t="b">
        <v>1</v>
      </c>
      <c r="U593" s="42">
        <f t="shared" si="9"/>
        <v>5.9</v>
      </c>
      <c r="V593" s="42">
        <v>0</v>
      </c>
      <c r="W593" s="42">
        <v>5.9</v>
      </c>
    </row>
    <row r="594" spans="4:23" x14ac:dyDescent="0.15">
      <c r="D594" s="43" t="s">
        <v>1300</v>
      </c>
      <c r="E594" s="43" t="s">
        <v>738</v>
      </c>
      <c r="F594" s="43" t="s">
        <v>739</v>
      </c>
      <c r="G594" s="43">
        <v>1</v>
      </c>
      <c r="H594" s="44">
        <v>40513.492361111108</v>
      </c>
      <c r="I594" s="43">
        <v>3.75</v>
      </c>
      <c r="J594" s="43">
        <v>17920</v>
      </c>
      <c r="K594" s="43" t="s">
        <v>71</v>
      </c>
      <c r="L594" s="45">
        <v>3.75</v>
      </c>
      <c r="M594" s="43" t="s">
        <v>721</v>
      </c>
      <c r="N594" s="43">
        <v>2010</v>
      </c>
      <c r="O594" s="43" t="s">
        <v>83</v>
      </c>
      <c r="P594" s="43" t="s">
        <v>126</v>
      </c>
      <c r="Q594" s="43" t="s">
        <v>624</v>
      </c>
      <c r="R594" s="43">
        <v>11</v>
      </c>
      <c r="S594" s="43" t="b">
        <v>0</v>
      </c>
      <c r="T594" s="43" t="b">
        <v>1</v>
      </c>
      <c r="U594" s="45">
        <f t="shared" si="9"/>
        <v>3.75</v>
      </c>
      <c r="V594" s="45">
        <v>0</v>
      </c>
      <c r="W594" s="45">
        <v>3.75</v>
      </c>
    </row>
    <row r="595" spans="4:23" x14ac:dyDescent="0.15">
      <c r="D595" s="40" t="s">
        <v>1300</v>
      </c>
      <c r="E595" s="40" t="s">
        <v>1333</v>
      </c>
      <c r="F595" s="40" t="s">
        <v>1334</v>
      </c>
      <c r="G595" s="40">
        <v>2</v>
      </c>
      <c r="H595" s="41">
        <v>40513.492361111108</v>
      </c>
      <c r="I595" s="40">
        <v>3.75</v>
      </c>
      <c r="J595" s="40">
        <v>17920</v>
      </c>
      <c r="K595" s="40" t="s">
        <v>71</v>
      </c>
      <c r="L595" s="42">
        <v>7.5</v>
      </c>
      <c r="M595" s="40" t="s">
        <v>721</v>
      </c>
      <c r="N595" s="40">
        <v>2010</v>
      </c>
      <c r="O595" s="40" t="s">
        <v>83</v>
      </c>
      <c r="P595" s="40" t="s">
        <v>126</v>
      </c>
      <c r="Q595" s="40" t="s">
        <v>624</v>
      </c>
      <c r="R595" s="40">
        <v>11</v>
      </c>
      <c r="S595" s="40" t="b">
        <v>0</v>
      </c>
      <c r="T595" s="40" t="b">
        <v>1</v>
      </c>
      <c r="U595" s="42">
        <f t="shared" si="9"/>
        <v>7.5</v>
      </c>
      <c r="V595" s="42">
        <v>0</v>
      </c>
      <c r="W595" s="42">
        <v>7.5</v>
      </c>
    </row>
    <row r="596" spans="4:23" x14ac:dyDescent="0.15">
      <c r="D596" s="43" t="s">
        <v>1300</v>
      </c>
      <c r="E596" s="43" t="s">
        <v>1335</v>
      </c>
      <c r="F596" s="43" t="s">
        <v>1336</v>
      </c>
      <c r="G596" s="43">
        <v>1</v>
      </c>
      <c r="H596" s="44">
        <v>40513.492361111108</v>
      </c>
      <c r="I596" s="43">
        <v>0.95</v>
      </c>
      <c r="J596" s="43">
        <v>17920</v>
      </c>
      <c r="K596" s="43" t="s">
        <v>71</v>
      </c>
      <c r="L596" s="45">
        <v>0.95</v>
      </c>
      <c r="M596" s="43" t="s">
        <v>721</v>
      </c>
      <c r="N596" s="43">
        <v>2010</v>
      </c>
      <c r="O596" s="43" t="s">
        <v>83</v>
      </c>
      <c r="P596" s="43" t="s">
        <v>126</v>
      </c>
      <c r="Q596" s="43" t="s">
        <v>624</v>
      </c>
      <c r="R596" s="43">
        <v>11</v>
      </c>
      <c r="S596" s="43" t="b">
        <v>0</v>
      </c>
      <c r="T596" s="43" t="b">
        <v>1</v>
      </c>
      <c r="U596" s="45">
        <f t="shared" si="9"/>
        <v>0.95</v>
      </c>
      <c r="V596" s="45">
        <v>0</v>
      </c>
      <c r="W596" s="45">
        <v>0.95</v>
      </c>
    </row>
    <row r="597" spans="4:23" x14ac:dyDescent="0.15">
      <c r="D597" s="40" t="s">
        <v>1300</v>
      </c>
      <c r="E597" s="40" t="s">
        <v>505</v>
      </c>
      <c r="F597" s="40" t="s">
        <v>506</v>
      </c>
      <c r="G597" s="40">
        <v>2</v>
      </c>
      <c r="H597" s="41">
        <v>40513.492361111108</v>
      </c>
      <c r="I597" s="40">
        <v>2.95</v>
      </c>
      <c r="J597" s="40">
        <v>17920</v>
      </c>
      <c r="K597" s="40" t="s">
        <v>71</v>
      </c>
      <c r="L597" s="42">
        <v>5.9</v>
      </c>
      <c r="M597" s="40" t="s">
        <v>721</v>
      </c>
      <c r="N597" s="40">
        <v>2010</v>
      </c>
      <c r="O597" s="40" t="s">
        <v>83</v>
      </c>
      <c r="P597" s="40" t="s">
        <v>126</v>
      </c>
      <c r="Q597" s="40" t="s">
        <v>624</v>
      </c>
      <c r="R597" s="40">
        <v>11</v>
      </c>
      <c r="S597" s="40" t="b">
        <v>0</v>
      </c>
      <c r="T597" s="40" t="b">
        <v>1</v>
      </c>
      <c r="U597" s="42">
        <f t="shared" si="9"/>
        <v>5.9</v>
      </c>
      <c r="V597" s="42">
        <v>0</v>
      </c>
      <c r="W597" s="42">
        <v>5.9</v>
      </c>
    </row>
    <row r="598" spans="4:23" x14ac:dyDescent="0.15">
      <c r="D598" s="43" t="s">
        <v>1300</v>
      </c>
      <c r="E598" s="43" t="s">
        <v>491</v>
      </c>
      <c r="F598" s="43" t="s">
        <v>492</v>
      </c>
      <c r="G598" s="43">
        <v>3</v>
      </c>
      <c r="H598" s="44">
        <v>40513.492361111108</v>
      </c>
      <c r="I598" s="43">
        <v>3.75</v>
      </c>
      <c r="J598" s="43">
        <v>17920</v>
      </c>
      <c r="K598" s="43" t="s">
        <v>71</v>
      </c>
      <c r="L598" s="45">
        <v>11.25</v>
      </c>
      <c r="M598" s="43" t="s">
        <v>721</v>
      </c>
      <c r="N598" s="43">
        <v>2010</v>
      </c>
      <c r="O598" s="43" t="s">
        <v>83</v>
      </c>
      <c r="P598" s="43" t="s">
        <v>126</v>
      </c>
      <c r="Q598" s="43" t="s">
        <v>624</v>
      </c>
      <c r="R598" s="43">
        <v>11</v>
      </c>
      <c r="S598" s="43" t="b">
        <v>0</v>
      </c>
      <c r="T598" s="43" t="b">
        <v>1</v>
      </c>
      <c r="U598" s="45">
        <f t="shared" si="9"/>
        <v>11.25</v>
      </c>
      <c r="V598" s="45">
        <v>0</v>
      </c>
      <c r="W598" s="45">
        <v>11.25</v>
      </c>
    </row>
    <row r="599" spans="4:23" x14ac:dyDescent="0.15">
      <c r="D599" s="40" t="s">
        <v>1300</v>
      </c>
      <c r="E599" s="40" t="s">
        <v>1323</v>
      </c>
      <c r="F599" s="40" t="s">
        <v>1324</v>
      </c>
      <c r="G599" s="40">
        <v>1</v>
      </c>
      <c r="H599" s="41">
        <v>40513.492361111108</v>
      </c>
      <c r="I599" s="40">
        <v>2.1</v>
      </c>
      <c r="J599" s="40">
        <v>17920</v>
      </c>
      <c r="K599" s="40" t="s">
        <v>71</v>
      </c>
      <c r="L599" s="42">
        <v>2.1</v>
      </c>
      <c r="M599" s="40" t="s">
        <v>721</v>
      </c>
      <c r="N599" s="40">
        <v>2010</v>
      </c>
      <c r="O599" s="40" t="s">
        <v>83</v>
      </c>
      <c r="P599" s="40" t="s">
        <v>126</v>
      </c>
      <c r="Q599" s="40" t="s">
        <v>624</v>
      </c>
      <c r="R599" s="40">
        <v>11</v>
      </c>
      <c r="S599" s="40" t="b">
        <v>0</v>
      </c>
      <c r="T599" s="40" t="b">
        <v>1</v>
      </c>
      <c r="U599" s="42">
        <f t="shared" si="9"/>
        <v>2.1</v>
      </c>
      <c r="V599" s="42">
        <v>0</v>
      </c>
      <c r="W599" s="42">
        <v>2.1</v>
      </c>
    </row>
    <row r="600" spans="4:23" x14ac:dyDescent="0.15">
      <c r="D600" s="43" t="s">
        <v>1300</v>
      </c>
      <c r="E600" s="43" t="s">
        <v>1325</v>
      </c>
      <c r="F600" s="43" t="s">
        <v>1326</v>
      </c>
      <c r="G600" s="43">
        <v>1</v>
      </c>
      <c r="H600" s="44">
        <v>40513.492361111108</v>
      </c>
      <c r="I600" s="43">
        <v>2.1</v>
      </c>
      <c r="J600" s="43">
        <v>17920</v>
      </c>
      <c r="K600" s="43" t="s">
        <v>71</v>
      </c>
      <c r="L600" s="45">
        <v>2.1</v>
      </c>
      <c r="M600" s="43" t="s">
        <v>721</v>
      </c>
      <c r="N600" s="43">
        <v>2010</v>
      </c>
      <c r="O600" s="43" t="s">
        <v>83</v>
      </c>
      <c r="P600" s="43" t="s">
        <v>126</v>
      </c>
      <c r="Q600" s="43" t="s">
        <v>624</v>
      </c>
      <c r="R600" s="43">
        <v>11</v>
      </c>
      <c r="S600" s="43" t="b">
        <v>0</v>
      </c>
      <c r="T600" s="43" t="b">
        <v>1</v>
      </c>
      <c r="U600" s="45">
        <f t="shared" si="9"/>
        <v>2.1</v>
      </c>
      <c r="V600" s="45">
        <v>0</v>
      </c>
      <c r="W600" s="45">
        <v>2.1</v>
      </c>
    </row>
    <row r="601" spans="4:23" x14ac:dyDescent="0.15">
      <c r="D601" s="40" t="s">
        <v>1300</v>
      </c>
      <c r="E601" s="40" t="s">
        <v>548</v>
      </c>
      <c r="F601" s="40" t="s">
        <v>549</v>
      </c>
      <c r="G601" s="40">
        <v>3</v>
      </c>
      <c r="H601" s="41">
        <v>40513.492361111108</v>
      </c>
      <c r="I601" s="40">
        <v>3.75</v>
      </c>
      <c r="J601" s="40">
        <v>17920</v>
      </c>
      <c r="K601" s="40" t="s">
        <v>71</v>
      </c>
      <c r="L601" s="42">
        <v>11.25</v>
      </c>
      <c r="M601" s="40" t="s">
        <v>721</v>
      </c>
      <c r="N601" s="40">
        <v>2010</v>
      </c>
      <c r="O601" s="40" t="s">
        <v>83</v>
      </c>
      <c r="P601" s="40" t="s">
        <v>126</v>
      </c>
      <c r="Q601" s="40" t="s">
        <v>624</v>
      </c>
      <c r="R601" s="40">
        <v>11</v>
      </c>
      <c r="S601" s="40" t="b">
        <v>0</v>
      </c>
      <c r="T601" s="40" t="b">
        <v>1</v>
      </c>
      <c r="U601" s="42">
        <f t="shared" si="9"/>
        <v>11.25</v>
      </c>
      <c r="V601" s="42">
        <v>0</v>
      </c>
      <c r="W601" s="42">
        <v>11.25</v>
      </c>
    </row>
    <row r="602" spans="4:23" x14ac:dyDescent="0.15">
      <c r="D602" s="43" t="s">
        <v>1300</v>
      </c>
      <c r="E602" s="43" t="s">
        <v>1337</v>
      </c>
      <c r="F602" s="43" t="s">
        <v>1338</v>
      </c>
      <c r="G602" s="43">
        <v>2</v>
      </c>
      <c r="H602" s="44">
        <v>40513.492361111108</v>
      </c>
      <c r="I602" s="43">
        <v>3.75</v>
      </c>
      <c r="J602" s="43">
        <v>17920</v>
      </c>
      <c r="K602" s="43" t="s">
        <v>71</v>
      </c>
      <c r="L602" s="45">
        <v>7.5</v>
      </c>
      <c r="M602" s="43" t="s">
        <v>721</v>
      </c>
      <c r="N602" s="43">
        <v>2010</v>
      </c>
      <c r="O602" s="43" t="s">
        <v>83</v>
      </c>
      <c r="P602" s="43" t="s">
        <v>126</v>
      </c>
      <c r="Q602" s="43" t="s">
        <v>624</v>
      </c>
      <c r="R602" s="43">
        <v>11</v>
      </c>
      <c r="S602" s="43" t="b">
        <v>0</v>
      </c>
      <c r="T602" s="43" t="b">
        <v>1</v>
      </c>
      <c r="U602" s="45">
        <f t="shared" si="9"/>
        <v>7.5</v>
      </c>
      <c r="V602" s="45">
        <v>0</v>
      </c>
      <c r="W602" s="45">
        <v>7.5</v>
      </c>
    </row>
    <row r="603" spans="4:23" x14ac:dyDescent="0.15">
      <c r="D603" s="40" t="s">
        <v>1300</v>
      </c>
      <c r="E603" s="40" t="s">
        <v>1319</v>
      </c>
      <c r="F603" s="40" t="s">
        <v>1320</v>
      </c>
      <c r="G603" s="40">
        <v>1</v>
      </c>
      <c r="H603" s="41">
        <v>40513.492361111108</v>
      </c>
      <c r="I603" s="40">
        <v>1.65</v>
      </c>
      <c r="J603" s="40">
        <v>17920</v>
      </c>
      <c r="K603" s="40" t="s">
        <v>71</v>
      </c>
      <c r="L603" s="42">
        <v>1.65</v>
      </c>
      <c r="M603" s="40" t="s">
        <v>721</v>
      </c>
      <c r="N603" s="40">
        <v>2010</v>
      </c>
      <c r="O603" s="40" t="s">
        <v>83</v>
      </c>
      <c r="P603" s="40" t="s">
        <v>126</v>
      </c>
      <c r="Q603" s="40" t="s">
        <v>624</v>
      </c>
      <c r="R603" s="40">
        <v>11</v>
      </c>
      <c r="S603" s="40" t="b">
        <v>0</v>
      </c>
      <c r="T603" s="40" t="b">
        <v>1</v>
      </c>
      <c r="U603" s="42">
        <f t="shared" si="9"/>
        <v>1.65</v>
      </c>
      <c r="V603" s="42">
        <v>0</v>
      </c>
      <c r="W603" s="42">
        <v>1.65</v>
      </c>
    </row>
    <row r="604" spans="4:23" x14ac:dyDescent="0.15">
      <c r="D604" s="43" t="s">
        <v>1300</v>
      </c>
      <c r="E604" s="43" t="s">
        <v>175</v>
      </c>
      <c r="F604" s="43" t="s">
        <v>176</v>
      </c>
      <c r="G604" s="43">
        <v>1</v>
      </c>
      <c r="H604" s="44">
        <v>40513.492361111108</v>
      </c>
      <c r="I604" s="43">
        <v>2.95</v>
      </c>
      <c r="J604" s="43">
        <v>17920</v>
      </c>
      <c r="K604" s="43" t="s">
        <v>71</v>
      </c>
      <c r="L604" s="45">
        <v>2.95</v>
      </c>
      <c r="M604" s="43" t="s">
        <v>721</v>
      </c>
      <c r="N604" s="43">
        <v>2010</v>
      </c>
      <c r="O604" s="43" t="s">
        <v>83</v>
      </c>
      <c r="P604" s="43" t="s">
        <v>126</v>
      </c>
      <c r="Q604" s="43" t="s">
        <v>624</v>
      </c>
      <c r="R604" s="43">
        <v>11</v>
      </c>
      <c r="S604" s="43" t="b">
        <v>0</v>
      </c>
      <c r="T604" s="43" t="b">
        <v>1</v>
      </c>
      <c r="U604" s="45">
        <f t="shared" si="9"/>
        <v>2.95</v>
      </c>
      <c r="V604" s="45">
        <v>0</v>
      </c>
      <c r="W604" s="45">
        <v>2.95</v>
      </c>
    </row>
    <row r="605" spans="4:23" x14ac:dyDescent="0.15">
      <c r="D605" s="40" t="s">
        <v>1300</v>
      </c>
      <c r="E605" s="40" t="s">
        <v>1337</v>
      </c>
      <c r="F605" s="40" t="s">
        <v>1338</v>
      </c>
      <c r="G605" s="40">
        <v>2</v>
      </c>
      <c r="H605" s="41">
        <v>40513.492361111108</v>
      </c>
      <c r="I605" s="40">
        <v>3.75</v>
      </c>
      <c r="J605" s="40">
        <v>17920</v>
      </c>
      <c r="K605" s="40" t="s">
        <v>71</v>
      </c>
      <c r="L605" s="42">
        <v>7.5</v>
      </c>
      <c r="M605" s="40" t="s">
        <v>721</v>
      </c>
      <c r="N605" s="40">
        <v>2010</v>
      </c>
      <c r="O605" s="40" t="s">
        <v>83</v>
      </c>
      <c r="P605" s="40" t="s">
        <v>126</v>
      </c>
      <c r="Q605" s="40" t="s">
        <v>624</v>
      </c>
      <c r="R605" s="40">
        <v>11</v>
      </c>
      <c r="S605" s="40" t="b">
        <v>0</v>
      </c>
      <c r="T605" s="40" t="b">
        <v>1</v>
      </c>
      <c r="U605" s="42">
        <f t="shared" si="9"/>
        <v>7.5</v>
      </c>
      <c r="V605" s="42">
        <v>0</v>
      </c>
      <c r="W605" s="42">
        <v>7.5</v>
      </c>
    </row>
    <row r="606" spans="4:23" x14ac:dyDescent="0.15">
      <c r="D606" s="43" t="s">
        <v>1300</v>
      </c>
      <c r="E606" s="43" t="s">
        <v>1319</v>
      </c>
      <c r="F606" s="43" t="s">
        <v>1320</v>
      </c>
      <c r="G606" s="43">
        <v>2</v>
      </c>
      <c r="H606" s="44">
        <v>40513.492361111108</v>
      </c>
      <c r="I606" s="43">
        <v>1.65</v>
      </c>
      <c r="J606" s="43">
        <v>17920</v>
      </c>
      <c r="K606" s="43" t="s">
        <v>71</v>
      </c>
      <c r="L606" s="45">
        <v>3.3</v>
      </c>
      <c r="M606" s="43" t="s">
        <v>721</v>
      </c>
      <c r="N606" s="43">
        <v>2010</v>
      </c>
      <c r="O606" s="43" t="s">
        <v>83</v>
      </c>
      <c r="P606" s="43" t="s">
        <v>126</v>
      </c>
      <c r="Q606" s="43" t="s">
        <v>624</v>
      </c>
      <c r="R606" s="43">
        <v>11</v>
      </c>
      <c r="S606" s="43" t="b">
        <v>0</v>
      </c>
      <c r="T606" s="43" t="b">
        <v>1</v>
      </c>
      <c r="U606" s="45">
        <f t="shared" si="9"/>
        <v>3.3</v>
      </c>
      <c r="V606" s="45">
        <v>0</v>
      </c>
      <c r="W606" s="45">
        <v>3.3</v>
      </c>
    </row>
    <row r="607" spans="4:23" x14ac:dyDescent="0.15">
      <c r="D607" s="40" t="s">
        <v>1300</v>
      </c>
      <c r="E607" s="40" t="s">
        <v>961</v>
      </c>
      <c r="F607" s="40" t="s">
        <v>962</v>
      </c>
      <c r="G607" s="40">
        <v>4</v>
      </c>
      <c r="H607" s="41">
        <v>40513.492361111108</v>
      </c>
      <c r="I607" s="40">
        <v>9.9499999999999993</v>
      </c>
      <c r="J607" s="40">
        <v>17920</v>
      </c>
      <c r="K607" s="40" t="s">
        <v>71</v>
      </c>
      <c r="L607" s="42">
        <v>39.799999999999997</v>
      </c>
      <c r="M607" s="40" t="s">
        <v>721</v>
      </c>
      <c r="N607" s="40">
        <v>2010</v>
      </c>
      <c r="O607" s="40" t="s">
        <v>83</v>
      </c>
      <c r="P607" s="40" t="s">
        <v>126</v>
      </c>
      <c r="Q607" s="40" t="s">
        <v>624</v>
      </c>
      <c r="R607" s="40">
        <v>11</v>
      </c>
      <c r="S607" s="40" t="b">
        <v>0</v>
      </c>
      <c r="T607" s="40" t="b">
        <v>1</v>
      </c>
      <c r="U607" s="42">
        <f t="shared" si="9"/>
        <v>39.799999999999997</v>
      </c>
      <c r="V607" s="42">
        <v>0</v>
      </c>
      <c r="W607" s="42">
        <v>39.799999999999997</v>
      </c>
    </row>
    <row r="608" spans="4:23" x14ac:dyDescent="0.15">
      <c r="D608" s="43" t="s">
        <v>1300</v>
      </c>
      <c r="E608" s="43" t="s">
        <v>1339</v>
      </c>
      <c r="F608" s="43" t="s">
        <v>1340</v>
      </c>
      <c r="G608" s="43">
        <v>7</v>
      </c>
      <c r="H608" s="44">
        <v>40513.492361111108</v>
      </c>
      <c r="I608" s="43">
        <v>2.1</v>
      </c>
      <c r="J608" s="43">
        <v>17920</v>
      </c>
      <c r="K608" s="43" t="s">
        <v>71</v>
      </c>
      <c r="L608" s="45">
        <v>14.7</v>
      </c>
      <c r="M608" s="43" t="s">
        <v>721</v>
      </c>
      <c r="N608" s="43">
        <v>2010</v>
      </c>
      <c r="O608" s="43" t="s">
        <v>83</v>
      </c>
      <c r="P608" s="43" t="s">
        <v>126</v>
      </c>
      <c r="Q608" s="43" t="s">
        <v>624</v>
      </c>
      <c r="R608" s="43">
        <v>11</v>
      </c>
      <c r="S608" s="43" t="b">
        <v>0</v>
      </c>
      <c r="T608" s="43" t="b">
        <v>1</v>
      </c>
      <c r="U608" s="45">
        <f t="shared" si="9"/>
        <v>14.7</v>
      </c>
      <c r="V608" s="45">
        <v>0</v>
      </c>
      <c r="W608" s="45">
        <v>14.7</v>
      </c>
    </row>
    <row r="609" spans="4:23" x14ac:dyDescent="0.15">
      <c r="D609" s="40" t="s">
        <v>1300</v>
      </c>
      <c r="E609" s="40" t="s">
        <v>1319</v>
      </c>
      <c r="F609" s="40" t="s">
        <v>1320</v>
      </c>
      <c r="G609" s="40">
        <v>2</v>
      </c>
      <c r="H609" s="41">
        <v>40513.492361111108</v>
      </c>
      <c r="I609" s="40">
        <v>1.65</v>
      </c>
      <c r="J609" s="40">
        <v>17920</v>
      </c>
      <c r="K609" s="40" t="s">
        <v>71</v>
      </c>
      <c r="L609" s="42">
        <v>3.3</v>
      </c>
      <c r="M609" s="40" t="s">
        <v>721</v>
      </c>
      <c r="N609" s="40">
        <v>2010</v>
      </c>
      <c r="O609" s="40" t="s">
        <v>83</v>
      </c>
      <c r="P609" s="40" t="s">
        <v>126</v>
      </c>
      <c r="Q609" s="40" t="s">
        <v>624</v>
      </c>
      <c r="R609" s="40">
        <v>11</v>
      </c>
      <c r="S609" s="40" t="b">
        <v>0</v>
      </c>
      <c r="T609" s="40" t="b">
        <v>1</v>
      </c>
      <c r="U609" s="42">
        <f t="shared" si="9"/>
        <v>3.3</v>
      </c>
      <c r="V609" s="42">
        <v>0</v>
      </c>
      <c r="W609" s="42">
        <v>3.3</v>
      </c>
    </row>
    <row r="610" spans="4:23" x14ac:dyDescent="0.15">
      <c r="D610" s="43" t="s">
        <v>1300</v>
      </c>
      <c r="E610" s="43" t="s">
        <v>1339</v>
      </c>
      <c r="F610" s="43" t="s">
        <v>1340</v>
      </c>
      <c r="G610" s="43">
        <v>7</v>
      </c>
      <c r="H610" s="44">
        <v>40513.492361111108</v>
      </c>
      <c r="I610" s="43">
        <v>2.1</v>
      </c>
      <c r="J610" s="43">
        <v>17920</v>
      </c>
      <c r="K610" s="43" t="s">
        <v>71</v>
      </c>
      <c r="L610" s="45">
        <v>14.7</v>
      </c>
      <c r="M610" s="43" t="s">
        <v>721</v>
      </c>
      <c r="N610" s="43">
        <v>2010</v>
      </c>
      <c r="O610" s="43" t="s">
        <v>83</v>
      </c>
      <c r="P610" s="43" t="s">
        <v>126</v>
      </c>
      <c r="Q610" s="43" t="s">
        <v>624</v>
      </c>
      <c r="R610" s="43">
        <v>11</v>
      </c>
      <c r="S610" s="43" t="b">
        <v>0</v>
      </c>
      <c r="T610" s="43" t="b">
        <v>1</v>
      </c>
      <c r="U610" s="45">
        <f t="shared" si="9"/>
        <v>14.7</v>
      </c>
      <c r="V610" s="45">
        <v>0</v>
      </c>
      <c r="W610" s="45">
        <v>14.7</v>
      </c>
    </row>
    <row r="611" spans="4:23" x14ac:dyDescent="0.15">
      <c r="D611" s="40" t="s">
        <v>1300</v>
      </c>
      <c r="E611" s="40" t="s">
        <v>1341</v>
      </c>
      <c r="F611" s="40" t="s">
        <v>1342</v>
      </c>
      <c r="G611" s="40">
        <v>1</v>
      </c>
      <c r="H611" s="41">
        <v>40513.492361111108</v>
      </c>
      <c r="I611" s="40">
        <v>4.95</v>
      </c>
      <c r="J611" s="40">
        <v>17920</v>
      </c>
      <c r="K611" s="40" t="s">
        <v>71</v>
      </c>
      <c r="L611" s="42">
        <v>4.95</v>
      </c>
      <c r="M611" s="40" t="s">
        <v>721</v>
      </c>
      <c r="N611" s="40">
        <v>2010</v>
      </c>
      <c r="O611" s="40" t="s">
        <v>83</v>
      </c>
      <c r="P611" s="40" t="s">
        <v>126</v>
      </c>
      <c r="Q611" s="40" t="s">
        <v>624</v>
      </c>
      <c r="R611" s="40">
        <v>11</v>
      </c>
      <c r="S611" s="40" t="b">
        <v>0</v>
      </c>
      <c r="T611" s="40" t="b">
        <v>1</v>
      </c>
      <c r="U611" s="42">
        <f t="shared" si="9"/>
        <v>4.95</v>
      </c>
      <c r="V611" s="42">
        <v>0</v>
      </c>
      <c r="W611" s="42">
        <v>4.95</v>
      </c>
    </row>
    <row r="612" spans="4:23" x14ac:dyDescent="0.15">
      <c r="D612" s="43" t="s">
        <v>1300</v>
      </c>
      <c r="E612" s="43" t="s">
        <v>1343</v>
      </c>
      <c r="F612" s="43" t="s">
        <v>1344</v>
      </c>
      <c r="G612" s="43">
        <v>1</v>
      </c>
      <c r="H612" s="44">
        <v>40513.492361111108</v>
      </c>
      <c r="I612" s="43">
        <v>4.95</v>
      </c>
      <c r="J612" s="43">
        <v>17920</v>
      </c>
      <c r="K612" s="43" t="s">
        <v>71</v>
      </c>
      <c r="L612" s="45">
        <v>4.95</v>
      </c>
      <c r="M612" s="43" t="s">
        <v>721</v>
      </c>
      <c r="N612" s="43">
        <v>2010</v>
      </c>
      <c r="O612" s="43" t="s">
        <v>83</v>
      </c>
      <c r="P612" s="43" t="s">
        <v>126</v>
      </c>
      <c r="Q612" s="43" t="s">
        <v>624</v>
      </c>
      <c r="R612" s="43">
        <v>11</v>
      </c>
      <c r="S612" s="43" t="b">
        <v>0</v>
      </c>
      <c r="T612" s="43" t="b">
        <v>1</v>
      </c>
      <c r="U612" s="45">
        <f t="shared" si="9"/>
        <v>4.95</v>
      </c>
      <c r="V612" s="45">
        <v>0</v>
      </c>
      <c r="W612" s="45">
        <v>4.95</v>
      </c>
    </row>
    <row r="613" spans="4:23" x14ac:dyDescent="0.15">
      <c r="D613" s="40" t="s">
        <v>1300</v>
      </c>
      <c r="E613" s="40" t="s">
        <v>1345</v>
      </c>
      <c r="F613" s="40" t="s">
        <v>1346</v>
      </c>
      <c r="G613" s="40">
        <v>1</v>
      </c>
      <c r="H613" s="41">
        <v>40513.492361111108</v>
      </c>
      <c r="I613" s="40">
        <v>4.95</v>
      </c>
      <c r="J613" s="40">
        <v>17920</v>
      </c>
      <c r="K613" s="40" t="s">
        <v>71</v>
      </c>
      <c r="L613" s="42">
        <v>4.95</v>
      </c>
      <c r="M613" s="40" t="s">
        <v>721</v>
      </c>
      <c r="N613" s="40">
        <v>2010</v>
      </c>
      <c r="O613" s="40" t="s">
        <v>83</v>
      </c>
      <c r="P613" s="40" t="s">
        <v>126</v>
      </c>
      <c r="Q613" s="40" t="s">
        <v>624</v>
      </c>
      <c r="R613" s="40">
        <v>11</v>
      </c>
      <c r="S613" s="40" t="b">
        <v>0</v>
      </c>
      <c r="T613" s="40" t="b">
        <v>1</v>
      </c>
      <c r="U613" s="42">
        <f t="shared" si="9"/>
        <v>4.95</v>
      </c>
      <c r="V613" s="42">
        <v>0</v>
      </c>
      <c r="W613" s="42">
        <v>4.95</v>
      </c>
    </row>
    <row r="614" spans="4:23" x14ac:dyDescent="0.15">
      <c r="D614" s="43" t="s">
        <v>1300</v>
      </c>
      <c r="E614" s="43" t="s">
        <v>1347</v>
      </c>
      <c r="F614" s="43" t="s">
        <v>1348</v>
      </c>
      <c r="G614" s="43">
        <v>2</v>
      </c>
      <c r="H614" s="44">
        <v>40513.492361111108</v>
      </c>
      <c r="I614" s="43">
        <v>6.75</v>
      </c>
      <c r="J614" s="43">
        <v>17920</v>
      </c>
      <c r="K614" s="43" t="s">
        <v>71</v>
      </c>
      <c r="L614" s="45">
        <v>13.5</v>
      </c>
      <c r="M614" s="43" t="s">
        <v>721</v>
      </c>
      <c r="N614" s="43">
        <v>2010</v>
      </c>
      <c r="O614" s="43" t="s">
        <v>83</v>
      </c>
      <c r="P614" s="43" t="s">
        <v>126</v>
      </c>
      <c r="Q614" s="43" t="s">
        <v>624</v>
      </c>
      <c r="R614" s="43">
        <v>11</v>
      </c>
      <c r="S614" s="43" t="b">
        <v>0</v>
      </c>
      <c r="T614" s="43" t="b">
        <v>1</v>
      </c>
      <c r="U614" s="45">
        <f t="shared" si="9"/>
        <v>13.5</v>
      </c>
      <c r="V614" s="45">
        <v>0</v>
      </c>
      <c r="W614" s="45">
        <v>13.5</v>
      </c>
    </row>
    <row r="615" spans="4:23" x14ac:dyDescent="0.15">
      <c r="D615" s="40" t="s">
        <v>1300</v>
      </c>
      <c r="E615" s="40" t="s">
        <v>199</v>
      </c>
      <c r="F615" s="40" t="s">
        <v>380</v>
      </c>
      <c r="G615" s="40">
        <v>5</v>
      </c>
      <c r="H615" s="41">
        <v>40513.492361111108</v>
      </c>
      <c r="I615" s="40">
        <v>0.85</v>
      </c>
      <c r="J615" s="40">
        <v>17920</v>
      </c>
      <c r="K615" s="40" t="s">
        <v>71</v>
      </c>
      <c r="L615" s="42">
        <v>4.25</v>
      </c>
      <c r="M615" s="40" t="s">
        <v>721</v>
      </c>
      <c r="N615" s="40">
        <v>2010</v>
      </c>
      <c r="O615" s="40" t="s">
        <v>83</v>
      </c>
      <c r="P615" s="40" t="s">
        <v>126</v>
      </c>
      <c r="Q615" s="40" t="s">
        <v>624</v>
      </c>
      <c r="R615" s="40">
        <v>11</v>
      </c>
      <c r="S615" s="40" t="b">
        <v>0</v>
      </c>
      <c r="T615" s="40" t="b">
        <v>1</v>
      </c>
      <c r="U615" s="42">
        <f t="shared" si="9"/>
        <v>4.25</v>
      </c>
      <c r="V615" s="42">
        <v>0</v>
      </c>
      <c r="W615" s="42">
        <v>4.25</v>
      </c>
    </row>
    <row r="616" spans="4:23" x14ac:dyDescent="0.15">
      <c r="D616" s="43" t="s">
        <v>1300</v>
      </c>
      <c r="E616" s="43" t="s">
        <v>413</v>
      </c>
      <c r="F616" s="43" t="s">
        <v>414</v>
      </c>
      <c r="G616" s="43">
        <v>2</v>
      </c>
      <c r="H616" s="44">
        <v>40513.492361111108</v>
      </c>
      <c r="I616" s="43">
        <v>2.95</v>
      </c>
      <c r="J616" s="43">
        <v>17920</v>
      </c>
      <c r="K616" s="43" t="s">
        <v>71</v>
      </c>
      <c r="L616" s="45">
        <v>5.9</v>
      </c>
      <c r="M616" s="43" t="s">
        <v>721</v>
      </c>
      <c r="N616" s="43">
        <v>2010</v>
      </c>
      <c r="O616" s="43" t="s">
        <v>83</v>
      </c>
      <c r="P616" s="43" t="s">
        <v>126</v>
      </c>
      <c r="Q616" s="43" t="s">
        <v>624</v>
      </c>
      <c r="R616" s="43">
        <v>11</v>
      </c>
      <c r="S616" s="43" t="b">
        <v>0</v>
      </c>
      <c r="T616" s="43" t="b">
        <v>1</v>
      </c>
      <c r="U616" s="45">
        <f t="shared" si="9"/>
        <v>5.9</v>
      </c>
      <c r="V616" s="45">
        <v>0</v>
      </c>
      <c r="W616" s="45">
        <v>5.9</v>
      </c>
    </row>
    <row r="617" spans="4:23" x14ac:dyDescent="0.15">
      <c r="D617" s="40" t="s">
        <v>1300</v>
      </c>
      <c r="E617" s="40" t="s">
        <v>1349</v>
      </c>
      <c r="F617" s="40" t="s">
        <v>1350</v>
      </c>
      <c r="G617" s="40">
        <v>1</v>
      </c>
      <c r="H617" s="41">
        <v>40513.492361111108</v>
      </c>
      <c r="I617" s="40">
        <v>4.95</v>
      </c>
      <c r="J617" s="40">
        <v>17920</v>
      </c>
      <c r="K617" s="40" t="s">
        <v>71</v>
      </c>
      <c r="L617" s="42">
        <v>4.95</v>
      </c>
      <c r="M617" s="40" t="s">
        <v>721</v>
      </c>
      <c r="N617" s="40">
        <v>2010</v>
      </c>
      <c r="O617" s="40" t="s">
        <v>83</v>
      </c>
      <c r="P617" s="40" t="s">
        <v>126</v>
      </c>
      <c r="Q617" s="40" t="s">
        <v>624</v>
      </c>
      <c r="R617" s="40">
        <v>11</v>
      </c>
      <c r="S617" s="40" t="b">
        <v>0</v>
      </c>
      <c r="T617" s="40" t="b">
        <v>1</v>
      </c>
      <c r="U617" s="42">
        <f t="shared" si="9"/>
        <v>4.95</v>
      </c>
      <c r="V617" s="42">
        <v>0</v>
      </c>
      <c r="W617" s="42">
        <v>4.95</v>
      </c>
    </row>
    <row r="618" spans="4:23" x14ac:dyDescent="0.15">
      <c r="D618" s="43" t="s">
        <v>1300</v>
      </c>
      <c r="E618" s="43" t="s">
        <v>1036</v>
      </c>
      <c r="F618" s="43" t="s">
        <v>1037</v>
      </c>
      <c r="G618" s="43">
        <v>2</v>
      </c>
      <c r="H618" s="44">
        <v>40513.492361111108</v>
      </c>
      <c r="I618" s="43">
        <v>6.75</v>
      </c>
      <c r="J618" s="43">
        <v>17920</v>
      </c>
      <c r="K618" s="43" t="s">
        <v>71</v>
      </c>
      <c r="L618" s="45">
        <v>13.5</v>
      </c>
      <c r="M618" s="43" t="s">
        <v>721</v>
      </c>
      <c r="N618" s="43">
        <v>2010</v>
      </c>
      <c r="O618" s="43" t="s">
        <v>83</v>
      </c>
      <c r="P618" s="43" t="s">
        <v>126</v>
      </c>
      <c r="Q618" s="43" t="s">
        <v>624</v>
      </c>
      <c r="R618" s="43">
        <v>11</v>
      </c>
      <c r="S618" s="43" t="b">
        <v>0</v>
      </c>
      <c r="T618" s="43" t="b">
        <v>1</v>
      </c>
      <c r="U618" s="45">
        <f t="shared" si="9"/>
        <v>13.5</v>
      </c>
      <c r="V618" s="45">
        <v>0</v>
      </c>
      <c r="W618" s="45">
        <v>13.5</v>
      </c>
    </row>
    <row r="619" spans="4:23" x14ac:dyDescent="0.15">
      <c r="D619" s="40" t="s">
        <v>1300</v>
      </c>
      <c r="E619" s="40" t="s">
        <v>197</v>
      </c>
      <c r="F619" s="40" t="s">
        <v>198</v>
      </c>
      <c r="G619" s="40">
        <v>1</v>
      </c>
      <c r="H619" s="41">
        <v>40513.492361111108</v>
      </c>
      <c r="I619" s="40">
        <v>1.65</v>
      </c>
      <c r="J619" s="40">
        <v>17920</v>
      </c>
      <c r="K619" s="40" t="s">
        <v>71</v>
      </c>
      <c r="L619" s="42">
        <v>1.65</v>
      </c>
      <c r="M619" s="40" t="s">
        <v>721</v>
      </c>
      <c r="N619" s="40">
        <v>2010</v>
      </c>
      <c r="O619" s="40" t="s">
        <v>83</v>
      </c>
      <c r="P619" s="40" t="s">
        <v>126</v>
      </c>
      <c r="Q619" s="40" t="s">
        <v>624</v>
      </c>
      <c r="R619" s="40">
        <v>11</v>
      </c>
      <c r="S619" s="40" t="b">
        <v>0</v>
      </c>
      <c r="T619" s="40" t="b">
        <v>1</v>
      </c>
      <c r="U619" s="42">
        <f t="shared" si="9"/>
        <v>1.65</v>
      </c>
      <c r="V619" s="42">
        <v>0</v>
      </c>
      <c r="W619" s="42">
        <v>1.65</v>
      </c>
    </row>
    <row r="620" spans="4:23" x14ac:dyDescent="0.15">
      <c r="D620" s="43" t="s">
        <v>1300</v>
      </c>
      <c r="E620" s="43" t="s">
        <v>1351</v>
      </c>
      <c r="F620" s="43" t="s">
        <v>1352</v>
      </c>
      <c r="G620" s="43">
        <v>1</v>
      </c>
      <c r="H620" s="44">
        <v>40513.492361111108</v>
      </c>
      <c r="I620" s="43">
        <v>2.95</v>
      </c>
      <c r="J620" s="43">
        <v>17920</v>
      </c>
      <c r="K620" s="43" t="s">
        <v>71</v>
      </c>
      <c r="L620" s="45">
        <v>2.95</v>
      </c>
      <c r="M620" s="43" t="s">
        <v>721</v>
      </c>
      <c r="N620" s="43">
        <v>2010</v>
      </c>
      <c r="O620" s="43" t="s">
        <v>83</v>
      </c>
      <c r="P620" s="43" t="s">
        <v>126</v>
      </c>
      <c r="Q620" s="43" t="s">
        <v>624</v>
      </c>
      <c r="R620" s="43">
        <v>11</v>
      </c>
      <c r="S620" s="43" t="b">
        <v>0</v>
      </c>
      <c r="T620" s="43" t="b">
        <v>1</v>
      </c>
      <c r="U620" s="45">
        <f t="shared" si="9"/>
        <v>2.95</v>
      </c>
      <c r="V620" s="45">
        <v>0</v>
      </c>
      <c r="W620" s="45">
        <v>2.95</v>
      </c>
    </row>
    <row r="621" spans="4:23" x14ac:dyDescent="0.15">
      <c r="D621" s="40" t="s">
        <v>1300</v>
      </c>
      <c r="E621" s="40" t="s">
        <v>1343</v>
      </c>
      <c r="F621" s="40" t="s">
        <v>1344</v>
      </c>
      <c r="G621" s="40">
        <v>1</v>
      </c>
      <c r="H621" s="41">
        <v>40513.492361111108</v>
      </c>
      <c r="I621" s="40">
        <v>4.95</v>
      </c>
      <c r="J621" s="40">
        <v>17920</v>
      </c>
      <c r="K621" s="40" t="s">
        <v>71</v>
      </c>
      <c r="L621" s="42">
        <v>4.95</v>
      </c>
      <c r="M621" s="40" t="s">
        <v>721</v>
      </c>
      <c r="N621" s="40">
        <v>2010</v>
      </c>
      <c r="O621" s="40" t="s">
        <v>83</v>
      </c>
      <c r="P621" s="40" t="s">
        <v>126</v>
      </c>
      <c r="Q621" s="40" t="s">
        <v>624</v>
      </c>
      <c r="R621" s="40">
        <v>11</v>
      </c>
      <c r="S621" s="40" t="b">
        <v>0</v>
      </c>
      <c r="T621" s="40" t="b">
        <v>1</v>
      </c>
      <c r="U621" s="42">
        <f t="shared" si="9"/>
        <v>4.95</v>
      </c>
      <c r="V621" s="42">
        <v>0</v>
      </c>
      <c r="W621" s="42">
        <v>4.95</v>
      </c>
    </row>
    <row r="622" spans="4:23" x14ac:dyDescent="0.15">
      <c r="D622" s="43" t="s">
        <v>1300</v>
      </c>
      <c r="E622" s="43" t="s">
        <v>413</v>
      </c>
      <c r="F622" s="43" t="s">
        <v>414</v>
      </c>
      <c r="G622" s="43">
        <v>2</v>
      </c>
      <c r="H622" s="44">
        <v>40513.492361111108</v>
      </c>
      <c r="I622" s="43">
        <v>2.95</v>
      </c>
      <c r="J622" s="43">
        <v>17920</v>
      </c>
      <c r="K622" s="43" t="s">
        <v>71</v>
      </c>
      <c r="L622" s="45">
        <v>5.9</v>
      </c>
      <c r="M622" s="43" t="s">
        <v>721</v>
      </c>
      <c r="N622" s="43">
        <v>2010</v>
      </c>
      <c r="O622" s="43" t="s">
        <v>83</v>
      </c>
      <c r="P622" s="43" t="s">
        <v>126</v>
      </c>
      <c r="Q622" s="43" t="s">
        <v>624</v>
      </c>
      <c r="R622" s="43">
        <v>11</v>
      </c>
      <c r="S622" s="43" t="b">
        <v>0</v>
      </c>
      <c r="T622" s="43" t="b">
        <v>1</v>
      </c>
      <c r="U622" s="45">
        <f t="shared" si="9"/>
        <v>5.9</v>
      </c>
      <c r="V622" s="45">
        <v>0</v>
      </c>
      <c r="W622" s="45">
        <v>5.9</v>
      </c>
    </row>
    <row r="623" spans="4:23" x14ac:dyDescent="0.15">
      <c r="D623" s="40" t="s">
        <v>1300</v>
      </c>
      <c r="E623" s="40" t="s">
        <v>1349</v>
      </c>
      <c r="F623" s="40" t="s">
        <v>1350</v>
      </c>
      <c r="G623" s="40">
        <v>1</v>
      </c>
      <c r="H623" s="41">
        <v>40513.492361111108</v>
      </c>
      <c r="I623" s="40">
        <v>4.95</v>
      </c>
      <c r="J623" s="40">
        <v>17920</v>
      </c>
      <c r="K623" s="40" t="s">
        <v>71</v>
      </c>
      <c r="L623" s="42">
        <v>4.95</v>
      </c>
      <c r="M623" s="40" t="s">
        <v>721</v>
      </c>
      <c r="N623" s="40">
        <v>2010</v>
      </c>
      <c r="O623" s="40" t="s">
        <v>83</v>
      </c>
      <c r="P623" s="40" t="s">
        <v>126</v>
      </c>
      <c r="Q623" s="40" t="s">
        <v>624</v>
      </c>
      <c r="R623" s="40">
        <v>11</v>
      </c>
      <c r="S623" s="40" t="b">
        <v>0</v>
      </c>
      <c r="T623" s="40" t="b">
        <v>1</v>
      </c>
      <c r="U623" s="42">
        <f t="shared" si="9"/>
        <v>4.95</v>
      </c>
      <c r="V623" s="42">
        <v>0</v>
      </c>
      <c r="W623" s="42">
        <v>4.95</v>
      </c>
    </row>
    <row r="624" spans="4:23" x14ac:dyDescent="0.15">
      <c r="D624" s="43" t="s">
        <v>1300</v>
      </c>
      <c r="E624" s="43" t="s">
        <v>1353</v>
      </c>
      <c r="F624" s="43" t="s">
        <v>1354</v>
      </c>
      <c r="G624" s="43">
        <v>6</v>
      </c>
      <c r="H624" s="44">
        <v>40513.492361111108</v>
      </c>
      <c r="I624" s="43">
        <v>1.25</v>
      </c>
      <c r="J624" s="43">
        <v>17920</v>
      </c>
      <c r="K624" s="43" t="s">
        <v>71</v>
      </c>
      <c r="L624" s="45">
        <v>7.5</v>
      </c>
      <c r="M624" s="43" t="s">
        <v>721</v>
      </c>
      <c r="N624" s="43">
        <v>2010</v>
      </c>
      <c r="O624" s="43" t="s">
        <v>83</v>
      </c>
      <c r="P624" s="43" t="s">
        <v>126</v>
      </c>
      <c r="Q624" s="43" t="s">
        <v>624</v>
      </c>
      <c r="R624" s="43">
        <v>11</v>
      </c>
      <c r="S624" s="43" t="b">
        <v>0</v>
      </c>
      <c r="T624" s="43" t="b">
        <v>1</v>
      </c>
      <c r="U624" s="45">
        <f t="shared" si="9"/>
        <v>7.5</v>
      </c>
      <c r="V624" s="45">
        <v>0</v>
      </c>
      <c r="W624" s="45">
        <v>7.5</v>
      </c>
    </row>
    <row r="625" spans="4:23" x14ac:dyDescent="0.15">
      <c r="D625" s="40" t="s">
        <v>1300</v>
      </c>
      <c r="E625" s="40" t="s">
        <v>1351</v>
      </c>
      <c r="F625" s="40" t="s">
        <v>1352</v>
      </c>
      <c r="G625" s="40">
        <v>1</v>
      </c>
      <c r="H625" s="41">
        <v>40513.492361111108</v>
      </c>
      <c r="I625" s="40">
        <v>2.95</v>
      </c>
      <c r="J625" s="40">
        <v>17920</v>
      </c>
      <c r="K625" s="40" t="s">
        <v>71</v>
      </c>
      <c r="L625" s="42">
        <v>2.95</v>
      </c>
      <c r="M625" s="40" t="s">
        <v>721</v>
      </c>
      <c r="N625" s="40">
        <v>2010</v>
      </c>
      <c r="O625" s="40" t="s">
        <v>83</v>
      </c>
      <c r="P625" s="40" t="s">
        <v>126</v>
      </c>
      <c r="Q625" s="40" t="s">
        <v>624</v>
      </c>
      <c r="R625" s="40">
        <v>11</v>
      </c>
      <c r="S625" s="40" t="b">
        <v>0</v>
      </c>
      <c r="T625" s="40" t="b">
        <v>1</v>
      </c>
      <c r="U625" s="42">
        <f t="shared" si="9"/>
        <v>2.95</v>
      </c>
      <c r="V625" s="42">
        <v>0</v>
      </c>
      <c r="W625" s="42">
        <v>2.95</v>
      </c>
    </row>
    <row r="626" spans="4:23" x14ac:dyDescent="0.15">
      <c r="D626" s="43" t="s">
        <v>1300</v>
      </c>
      <c r="E626" s="43" t="s">
        <v>477</v>
      </c>
      <c r="F626" s="43" t="s">
        <v>478</v>
      </c>
      <c r="G626" s="43">
        <v>1</v>
      </c>
      <c r="H626" s="44">
        <v>40513.492361111108</v>
      </c>
      <c r="I626" s="43">
        <v>7.95</v>
      </c>
      <c r="J626" s="43">
        <v>17920</v>
      </c>
      <c r="K626" s="43" t="s">
        <v>71</v>
      </c>
      <c r="L626" s="45">
        <v>7.95</v>
      </c>
      <c r="M626" s="43" t="s">
        <v>721</v>
      </c>
      <c r="N626" s="43">
        <v>2010</v>
      </c>
      <c r="O626" s="43" t="s">
        <v>83</v>
      </c>
      <c r="P626" s="43" t="s">
        <v>126</v>
      </c>
      <c r="Q626" s="43" t="s">
        <v>624</v>
      </c>
      <c r="R626" s="43">
        <v>11</v>
      </c>
      <c r="S626" s="43" t="b">
        <v>0</v>
      </c>
      <c r="T626" s="43" t="b">
        <v>1</v>
      </c>
      <c r="U626" s="45">
        <f t="shared" si="9"/>
        <v>7.95</v>
      </c>
      <c r="V626" s="45">
        <v>0</v>
      </c>
      <c r="W626" s="45">
        <v>7.95</v>
      </c>
    </row>
    <row r="627" spans="4:23" x14ac:dyDescent="0.15">
      <c r="D627" s="40" t="s">
        <v>1355</v>
      </c>
      <c r="E627" s="40" t="s">
        <v>293</v>
      </c>
      <c r="F627" s="40"/>
      <c r="G627" s="40">
        <v>56</v>
      </c>
      <c r="H627" s="41">
        <v>40513.494444444441</v>
      </c>
      <c r="I627" s="40">
        <v>0</v>
      </c>
      <c r="J627" s="40"/>
      <c r="K627" s="40" t="s">
        <v>71</v>
      </c>
      <c r="L627" s="42">
        <v>0</v>
      </c>
      <c r="M627" s="40" t="s">
        <v>721</v>
      </c>
      <c r="N627" s="40">
        <v>2010</v>
      </c>
      <c r="O627" s="40" t="s">
        <v>83</v>
      </c>
      <c r="P627" s="40" t="s">
        <v>126</v>
      </c>
      <c r="Q627" s="40" t="s">
        <v>624</v>
      </c>
      <c r="R627" s="40">
        <v>11</v>
      </c>
      <c r="S627" s="40" t="b">
        <v>0</v>
      </c>
      <c r="T627" s="40" t="b">
        <v>0</v>
      </c>
      <c r="U627" s="42">
        <f t="shared" si="9"/>
        <v>0</v>
      </c>
      <c r="V627" s="42">
        <v>0</v>
      </c>
      <c r="W627" s="42">
        <v>0</v>
      </c>
    </row>
    <row r="628" spans="4:23" x14ac:dyDescent="0.15">
      <c r="D628" s="43" t="s">
        <v>1356</v>
      </c>
      <c r="E628" s="43" t="s">
        <v>1357</v>
      </c>
      <c r="F628" s="43" t="s">
        <v>1358</v>
      </c>
      <c r="G628" s="43">
        <v>10</v>
      </c>
      <c r="H628" s="44">
        <v>40513.497916666667</v>
      </c>
      <c r="I628" s="43">
        <v>0.55000000000000004</v>
      </c>
      <c r="J628" s="43">
        <v>12838</v>
      </c>
      <c r="K628" s="43" t="s">
        <v>71</v>
      </c>
      <c r="L628" s="45">
        <v>5.5</v>
      </c>
      <c r="M628" s="43" t="s">
        <v>721</v>
      </c>
      <c r="N628" s="43">
        <v>2010</v>
      </c>
      <c r="O628" s="43" t="s">
        <v>83</v>
      </c>
      <c r="P628" s="43" t="s">
        <v>126</v>
      </c>
      <c r="Q628" s="43" t="s">
        <v>624</v>
      </c>
      <c r="R628" s="43">
        <v>11</v>
      </c>
      <c r="S628" s="43" t="b">
        <v>0</v>
      </c>
      <c r="T628" s="43" t="b">
        <v>1</v>
      </c>
      <c r="U628" s="45">
        <f t="shared" si="9"/>
        <v>5.5</v>
      </c>
      <c r="V628" s="45">
        <v>0</v>
      </c>
      <c r="W628" s="45">
        <v>5.5</v>
      </c>
    </row>
    <row r="629" spans="4:23" x14ac:dyDescent="0.15">
      <c r="D629" s="40" t="s">
        <v>1356</v>
      </c>
      <c r="E629" s="40" t="s">
        <v>205</v>
      </c>
      <c r="F629" s="40" t="s">
        <v>206</v>
      </c>
      <c r="G629" s="40">
        <v>5</v>
      </c>
      <c r="H629" s="41">
        <v>40513.497916666667</v>
      </c>
      <c r="I629" s="40">
        <v>2.95</v>
      </c>
      <c r="J629" s="40">
        <v>12838</v>
      </c>
      <c r="K629" s="40" t="s">
        <v>71</v>
      </c>
      <c r="L629" s="42">
        <v>14.75</v>
      </c>
      <c r="M629" s="40" t="s">
        <v>721</v>
      </c>
      <c r="N629" s="40">
        <v>2010</v>
      </c>
      <c r="O629" s="40" t="s">
        <v>83</v>
      </c>
      <c r="P629" s="40" t="s">
        <v>126</v>
      </c>
      <c r="Q629" s="40" t="s">
        <v>624</v>
      </c>
      <c r="R629" s="40">
        <v>11</v>
      </c>
      <c r="S629" s="40" t="b">
        <v>0</v>
      </c>
      <c r="T629" s="40" t="b">
        <v>1</v>
      </c>
      <c r="U629" s="42">
        <f t="shared" si="9"/>
        <v>14.75</v>
      </c>
      <c r="V629" s="42">
        <v>0</v>
      </c>
      <c r="W629" s="42">
        <v>14.75</v>
      </c>
    </row>
    <row r="630" spans="4:23" x14ac:dyDescent="0.15">
      <c r="D630" s="43" t="s">
        <v>1356</v>
      </c>
      <c r="E630" s="43" t="s">
        <v>1359</v>
      </c>
      <c r="F630" s="43" t="s">
        <v>1360</v>
      </c>
      <c r="G630" s="43">
        <v>3</v>
      </c>
      <c r="H630" s="44">
        <v>40513.497916666667</v>
      </c>
      <c r="I630" s="43">
        <v>1.65</v>
      </c>
      <c r="J630" s="43">
        <v>12838</v>
      </c>
      <c r="K630" s="43" t="s">
        <v>71</v>
      </c>
      <c r="L630" s="45">
        <v>4.9499999999999993</v>
      </c>
      <c r="M630" s="43" t="s">
        <v>721</v>
      </c>
      <c r="N630" s="43">
        <v>2010</v>
      </c>
      <c r="O630" s="43" t="s">
        <v>83</v>
      </c>
      <c r="P630" s="43" t="s">
        <v>126</v>
      </c>
      <c r="Q630" s="43" t="s">
        <v>624</v>
      </c>
      <c r="R630" s="43">
        <v>11</v>
      </c>
      <c r="S630" s="43" t="b">
        <v>0</v>
      </c>
      <c r="T630" s="43" t="b">
        <v>1</v>
      </c>
      <c r="U630" s="45">
        <f t="shared" si="9"/>
        <v>4.9499999999999993</v>
      </c>
      <c r="V630" s="45">
        <v>0</v>
      </c>
      <c r="W630" s="45">
        <v>4.9499999999999993</v>
      </c>
    </row>
    <row r="631" spans="4:23" x14ac:dyDescent="0.15">
      <c r="D631" s="40" t="s">
        <v>1356</v>
      </c>
      <c r="E631" s="40" t="s">
        <v>1361</v>
      </c>
      <c r="F631" s="40" t="s">
        <v>1362</v>
      </c>
      <c r="G631" s="40">
        <v>3</v>
      </c>
      <c r="H631" s="41">
        <v>40513.497916666667</v>
      </c>
      <c r="I631" s="40">
        <v>1.65</v>
      </c>
      <c r="J631" s="40">
        <v>12838</v>
      </c>
      <c r="K631" s="40" t="s">
        <v>71</v>
      </c>
      <c r="L631" s="42">
        <v>4.9499999999999993</v>
      </c>
      <c r="M631" s="40" t="s">
        <v>721</v>
      </c>
      <c r="N631" s="40">
        <v>2010</v>
      </c>
      <c r="O631" s="40" t="s">
        <v>83</v>
      </c>
      <c r="P631" s="40" t="s">
        <v>126</v>
      </c>
      <c r="Q631" s="40" t="s">
        <v>624</v>
      </c>
      <c r="R631" s="40">
        <v>11</v>
      </c>
      <c r="S631" s="40" t="b">
        <v>0</v>
      </c>
      <c r="T631" s="40" t="b">
        <v>1</v>
      </c>
      <c r="U631" s="42">
        <f t="shared" si="9"/>
        <v>4.9499999999999993</v>
      </c>
      <c r="V631" s="42">
        <v>0</v>
      </c>
      <c r="W631" s="42">
        <v>4.9499999999999993</v>
      </c>
    </row>
    <row r="632" spans="4:23" x14ac:dyDescent="0.15">
      <c r="D632" s="43" t="s">
        <v>1356</v>
      </c>
      <c r="E632" s="43" t="s">
        <v>1229</v>
      </c>
      <c r="F632" s="43" t="s">
        <v>1230</v>
      </c>
      <c r="G632" s="43">
        <v>3</v>
      </c>
      <c r="H632" s="44">
        <v>40513.497916666667</v>
      </c>
      <c r="I632" s="43">
        <v>1.65</v>
      </c>
      <c r="J632" s="43">
        <v>12838</v>
      </c>
      <c r="K632" s="43" t="s">
        <v>71</v>
      </c>
      <c r="L632" s="45">
        <v>4.9499999999999993</v>
      </c>
      <c r="M632" s="43" t="s">
        <v>721</v>
      </c>
      <c r="N632" s="43">
        <v>2010</v>
      </c>
      <c r="O632" s="43" t="s">
        <v>83</v>
      </c>
      <c r="P632" s="43" t="s">
        <v>126</v>
      </c>
      <c r="Q632" s="43" t="s">
        <v>624</v>
      </c>
      <c r="R632" s="43">
        <v>11</v>
      </c>
      <c r="S632" s="43" t="b">
        <v>0</v>
      </c>
      <c r="T632" s="43" t="b">
        <v>1</v>
      </c>
      <c r="U632" s="45">
        <f t="shared" si="9"/>
        <v>4.9499999999999993</v>
      </c>
      <c r="V632" s="45">
        <v>0</v>
      </c>
      <c r="W632" s="45">
        <v>4.9499999999999993</v>
      </c>
    </row>
    <row r="633" spans="4:23" x14ac:dyDescent="0.15">
      <c r="D633" s="40" t="s">
        <v>1356</v>
      </c>
      <c r="E633" s="40" t="s">
        <v>1363</v>
      </c>
      <c r="F633" s="40" t="s">
        <v>1364</v>
      </c>
      <c r="G633" s="40">
        <v>5</v>
      </c>
      <c r="H633" s="41">
        <v>40513.497916666667</v>
      </c>
      <c r="I633" s="40">
        <v>0.85</v>
      </c>
      <c r="J633" s="40">
        <v>12838</v>
      </c>
      <c r="K633" s="40" t="s">
        <v>71</v>
      </c>
      <c r="L633" s="42">
        <v>4.25</v>
      </c>
      <c r="M633" s="40" t="s">
        <v>721</v>
      </c>
      <c r="N633" s="40">
        <v>2010</v>
      </c>
      <c r="O633" s="40" t="s">
        <v>83</v>
      </c>
      <c r="P633" s="40" t="s">
        <v>126</v>
      </c>
      <c r="Q633" s="40" t="s">
        <v>624</v>
      </c>
      <c r="R633" s="40">
        <v>11</v>
      </c>
      <c r="S633" s="40" t="b">
        <v>0</v>
      </c>
      <c r="T633" s="40" t="b">
        <v>1</v>
      </c>
      <c r="U633" s="42">
        <f t="shared" si="9"/>
        <v>4.25</v>
      </c>
      <c r="V633" s="42">
        <v>0</v>
      </c>
      <c r="W633" s="42">
        <v>4.25</v>
      </c>
    </row>
    <row r="634" spans="4:23" x14ac:dyDescent="0.15">
      <c r="D634" s="43" t="s">
        <v>1356</v>
      </c>
      <c r="E634" s="43" t="s">
        <v>1365</v>
      </c>
      <c r="F634" s="43" t="s">
        <v>1366</v>
      </c>
      <c r="G634" s="43">
        <v>2</v>
      </c>
      <c r="H634" s="44">
        <v>40513.497916666667</v>
      </c>
      <c r="I634" s="43">
        <v>1.25</v>
      </c>
      <c r="J634" s="43">
        <v>12838</v>
      </c>
      <c r="K634" s="43" t="s">
        <v>71</v>
      </c>
      <c r="L634" s="45">
        <v>2.5</v>
      </c>
      <c r="M634" s="43" t="s">
        <v>721</v>
      </c>
      <c r="N634" s="43">
        <v>2010</v>
      </c>
      <c r="O634" s="43" t="s">
        <v>83</v>
      </c>
      <c r="P634" s="43" t="s">
        <v>126</v>
      </c>
      <c r="Q634" s="43" t="s">
        <v>624</v>
      </c>
      <c r="R634" s="43">
        <v>11</v>
      </c>
      <c r="S634" s="43" t="b">
        <v>0</v>
      </c>
      <c r="T634" s="43" t="b">
        <v>1</v>
      </c>
      <c r="U634" s="45">
        <f t="shared" si="9"/>
        <v>2.5</v>
      </c>
      <c r="V634" s="45">
        <v>0</v>
      </c>
      <c r="W634" s="45">
        <v>2.5</v>
      </c>
    </row>
    <row r="635" spans="4:23" x14ac:dyDescent="0.15">
      <c r="D635" s="40" t="s">
        <v>1356</v>
      </c>
      <c r="E635" s="40" t="s">
        <v>1367</v>
      </c>
      <c r="F635" s="40" t="s">
        <v>1368</v>
      </c>
      <c r="G635" s="40">
        <v>5</v>
      </c>
      <c r="H635" s="41">
        <v>40513.497916666667</v>
      </c>
      <c r="I635" s="40">
        <v>2.95</v>
      </c>
      <c r="J635" s="40">
        <v>12838</v>
      </c>
      <c r="K635" s="40" t="s">
        <v>71</v>
      </c>
      <c r="L635" s="42">
        <v>14.75</v>
      </c>
      <c r="M635" s="40" t="s">
        <v>721</v>
      </c>
      <c r="N635" s="40">
        <v>2010</v>
      </c>
      <c r="O635" s="40" t="s">
        <v>83</v>
      </c>
      <c r="P635" s="40" t="s">
        <v>126</v>
      </c>
      <c r="Q635" s="40" t="s">
        <v>624</v>
      </c>
      <c r="R635" s="40">
        <v>11</v>
      </c>
      <c r="S635" s="40" t="b">
        <v>0</v>
      </c>
      <c r="T635" s="40" t="b">
        <v>1</v>
      </c>
      <c r="U635" s="42">
        <f t="shared" si="9"/>
        <v>14.75</v>
      </c>
      <c r="V635" s="42">
        <v>0</v>
      </c>
      <c r="W635" s="42">
        <v>14.75</v>
      </c>
    </row>
    <row r="636" spans="4:23" x14ac:dyDescent="0.15">
      <c r="D636" s="43" t="s">
        <v>1356</v>
      </c>
      <c r="E636" s="43" t="s">
        <v>1369</v>
      </c>
      <c r="F636" s="43" t="s">
        <v>1370</v>
      </c>
      <c r="G636" s="43">
        <v>3</v>
      </c>
      <c r="H636" s="44">
        <v>40513.497916666667</v>
      </c>
      <c r="I636" s="43">
        <v>1.45</v>
      </c>
      <c r="J636" s="43">
        <v>12838</v>
      </c>
      <c r="K636" s="43" t="s">
        <v>71</v>
      </c>
      <c r="L636" s="45">
        <v>4.3499999999999996</v>
      </c>
      <c r="M636" s="43" t="s">
        <v>721</v>
      </c>
      <c r="N636" s="43">
        <v>2010</v>
      </c>
      <c r="O636" s="43" t="s">
        <v>83</v>
      </c>
      <c r="P636" s="43" t="s">
        <v>126</v>
      </c>
      <c r="Q636" s="43" t="s">
        <v>624</v>
      </c>
      <c r="R636" s="43">
        <v>11</v>
      </c>
      <c r="S636" s="43" t="b">
        <v>0</v>
      </c>
      <c r="T636" s="43" t="b">
        <v>1</v>
      </c>
      <c r="U636" s="45">
        <f t="shared" si="9"/>
        <v>4.3499999999999996</v>
      </c>
      <c r="V636" s="45">
        <v>0</v>
      </c>
      <c r="W636" s="45">
        <v>4.3499999999999996</v>
      </c>
    </row>
    <row r="637" spans="4:23" x14ac:dyDescent="0.15">
      <c r="D637" s="40" t="s">
        <v>1356</v>
      </c>
      <c r="E637" s="40" t="s">
        <v>221</v>
      </c>
      <c r="F637" s="40" t="s">
        <v>222</v>
      </c>
      <c r="G637" s="40">
        <v>1</v>
      </c>
      <c r="H637" s="41">
        <v>40513.497916666667</v>
      </c>
      <c r="I637" s="40">
        <v>2.95</v>
      </c>
      <c r="J637" s="40">
        <v>12838</v>
      </c>
      <c r="K637" s="40" t="s">
        <v>71</v>
      </c>
      <c r="L637" s="42">
        <v>2.95</v>
      </c>
      <c r="M637" s="40" t="s">
        <v>721</v>
      </c>
      <c r="N637" s="40">
        <v>2010</v>
      </c>
      <c r="O637" s="40" t="s">
        <v>83</v>
      </c>
      <c r="P637" s="40" t="s">
        <v>126</v>
      </c>
      <c r="Q637" s="40" t="s">
        <v>624</v>
      </c>
      <c r="R637" s="40">
        <v>11</v>
      </c>
      <c r="S637" s="40" t="b">
        <v>0</v>
      </c>
      <c r="T637" s="40" t="b">
        <v>1</v>
      </c>
      <c r="U637" s="42">
        <f t="shared" si="9"/>
        <v>2.95</v>
      </c>
      <c r="V637" s="42">
        <v>0</v>
      </c>
      <c r="W637" s="42">
        <v>2.95</v>
      </c>
    </row>
    <row r="638" spans="4:23" x14ac:dyDescent="0.15">
      <c r="D638" s="43" t="s">
        <v>1356</v>
      </c>
      <c r="E638" s="43" t="s">
        <v>1371</v>
      </c>
      <c r="F638" s="43" t="s">
        <v>1372</v>
      </c>
      <c r="G638" s="43">
        <v>1</v>
      </c>
      <c r="H638" s="44">
        <v>40513.497916666667</v>
      </c>
      <c r="I638" s="43">
        <v>5.95</v>
      </c>
      <c r="J638" s="43">
        <v>12838</v>
      </c>
      <c r="K638" s="43" t="s">
        <v>71</v>
      </c>
      <c r="L638" s="45">
        <v>5.95</v>
      </c>
      <c r="M638" s="43" t="s">
        <v>721</v>
      </c>
      <c r="N638" s="43">
        <v>2010</v>
      </c>
      <c r="O638" s="43" t="s">
        <v>83</v>
      </c>
      <c r="P638" s="43" t="s">
        <v>126</v>
      </c>
      <c r="Q638" s="43" t="s">
        <v>624</v>
      </c>
      <c r="R638" s="43">
        <v>11</v>
      </c>
      <c r="S638" s="43" t="b">
        <v>0</v>
      </c>
      <c r="T638" s="43" t="b">
        <v>1</v>
      </c>
      <c r="U638" s="45">
        <f t="shared" si="9"/>
        <v>5.95</v>
      </c>
      <c r="V638" s="45">
        <v>0</v>
      </c>
      <c r="W638" s="45">
        <v>5.95</v>
      </c>
    </row>
    <row r="639" spans="4:23" x14ac:dyDescent="0.15">
      <c r="D639" s="40" t="s">
        <v>1356</v>
      </c>
      <c r="E639" s="40" t="s">
        <v>211</v>
      </c>
      <c r="F639" s="40" t="s">
        <v>212</v>
      </c>
      <c r="G639" s="40">
        <v>5</v>
      </c>
      <c r="H639" s="41">
        <v>40513.497916666667</v>
      </c>
      <c r="I639" s="40">
        <v>1.65</v>
      </c>
      <c r="J639" s="40">
        <v>12838</v>
      </c>
      <c r="K639" s="40" t="s">
        <v>71</v>
      </c>
      <c r="L639" s="42">
        <v>8.25</v>
      </c>
      <c r="M639" s="40" t="s">
        <v>721</v>
      </c>
      <c r="N639" s="40">
        <v>2010</v>
      </c>
      <c r="O639" s="40" t="s">
        <v>83</v>
      </c>
      <c r="P639" s="40" t="s">
        <v>126</v>
      </c>
      <c r="Q639" s="40" t="s">
        <v>624</v>
      </c>
      <c r="R639" s="40">
        <v>11</v>
      </c>
      <c r="S639" s="40" t="b">
        <v>0</v>
      </c>
      <c r="T639" s="40" t="b">
        <v>1</v>
      </c>
      <c r="U639" s="42">
        <f t="shared" si="9"/>
        <v>8.25</v>
      </c>
      <c r="V639" s="42">
        <v>0</v>
      </c>
      <c r="W639" s="42">
        <v>8.25</v>
      </c>
    </row>
    <row r="640" spans="4:23" x14ac:dyDescent="0.15">
      <c r="D640" s="43" t="s">
        <v>1356</v>
      </c>
      <c r="E640" s="43" t="s">
        <v>1373</v>
      </c>
      <c r="F640" s="43" t="s">
        <v>1374</v>
      </c>
      <c r="G640" s="43">
        <v>4</v>
      </c>
      <c r="H640" s="44">
        <v>40513.497916666667</v>
      </c>
      <c r="I640" s="43">
        <v>1.45</v>
      </c>
      <c r="J640" s="43">
        <v>12838</v>
      </c>
      <c r="K640" s="43" t="s">
        <v>71</v>
      </c>
      <c r="L640" s="45">
        <v>5.8</v>
      </c>
      <c r="M640" s="43" t="s">
        <v>721</v>
      </c>
      <c r="N640" s="43">
        <v>2010</v>
      </c>
      <c r="O640" s="43" t="s">
        <v>83</v>
      </c>
      <c r="P640" s="43" t="s">
        <v>126</v>
      </c>
      <c r="Q640" s="43" t="s">
        <v>624</v>
      </c>
      <c r="R640" s="43">
        <v>11</v>
      </c>
      <c r="S640" s="43" t="b">
        <v>0</v>
      </c>
      <c r="T640" s="43" t="b">
        <v>1</v>
      </c>
      <c r="U640" s="45">
        <f t="shared" si="9"/>
        <v>5.8</v>
      </c>
      <c r="V640" s="45">
        <v>0</v>
      </c>
      <c r="W640" s="45">
        <v>5.8</v>
      </c>
    </row>
    <row r="641" spans="4:23" x14ac:dyDescent="0.15">
      <c r="D641" s="40" t="s">
        <v>1356</v>
      </c>
      <c r="E641" s="40" t="s">
        <v>1375</v>
      </c>
      <c r="F641" s="40" t="s">
        <v>1376</v>
      </c>
      <c r="G641" s="40">
        <v>6</v>
      </c>
      <c r="H641" s="41">
        <v>40513.497916666667</v>
      </c>
      <c r="I641" s="40">
        <v>0.85</v>
      </c>
      <c r="J641" s="40">
        <v>12838</v>
      </c>
      <c r="K641" s="40" t="s">
        <v>71</v>
      </c>
      <c r="L641" s="42">
        <v>5.0999999999999996</v>
      </c>
      <c r="M641" s="40" t="s">
        <v>721</v>
      </c>
      <c r="N641" s="40">
        <v>2010</v>
      </c>
      <c r="O641" s="40" t="s">
        <v>83</v>
      </c>
      <c r="P641" s="40" t="s">
        <v>126</v>
      </c>
      <c r="Q641" s="40" t="s">
        <v>624</v>
      </c>
      <c r="R641" s="40">
        <v>11</v>
      </c>
      <c r="S641" s="40" t="b">
        <v>0</v>
      </c>
      <c r="T641" s="40" t="b">
        <v>1</v>
      </c>
      <c r="U641" s="42">
        <f t="shared" si="9"/>
        <v>5.0999999999999996</v>
      </c>
      <c r="V641" s="42">
        <v>0</v>
      </c>
      <c r="W641" s="42">
        <v>5.0999999999999996</v>
      </c>
    </row>
    <row r="642" spans="4:23" x14ac:dyDescent="0.15">
      <c r="D642" s="43" t="s">
        <v>1356</v>
      </c>
      <c r="E642" s="43" t="s">
        <v>765</v>
      </c>
      <c r="F642" s="43" t="s">
        <v>766</v>
      </c>
      <c r="G642" s="43">
        <v>3</v>
      </c>
      <c r="H642" s="44">
        <v>40513.497916666667</v>
      </c>
      <c r="I642" s="43">
        <v>1.25</v>
      </c>
      <c r="J642" s="43">
        <v>12838</v>
      </c>
      <c r="K642" s="43" t="s">
        <v>71</v>
      </c>
      <c r="L642" s="45">
        <v>3.75</v>
      </c>
      <c r="M642" s="43" t="s">
        <v>721</v>
      </c>
      <c r="N642" s="43">
        <v>2010</v>
      </c>
      <c r="O642" s="43" t="s">
        <v>83</v>
      </c>
      <c r="P642" s="43" t="s">
        <v>126</v>
      </c>
      <c r="Q642" s="43" t="s">
        <v>624</v>
      </c>
      <c r="R642" s="43">
        <v>11</v>
      </c>
      <c r="S642" s="43" t="b">
        <v>0</v>
      </c>
      <c r="T642" s="43" t="b">
        <v>1</v>
      </c>
      <c r="U642" s="45">
        <f t="shared" si="9"/>
        <v>3.75</v>
      </c>
      <c r="V642" s="45">
        <v>0</v>
      </c>
      <c r="W642" s="45">
        <v>3.75</v>
      </c>
    </row>
    <row r="643" spans="4:23" x14ac:dyDescent="0.15">
      <c r="D643" s="40" t="s">
        <v>1356</v>
      </c>
      <c r="E643" s="40" t="s">
        <v>1377</v>
      </c>
      <c r="F643" s="40" t="s">
        <v>1378</v>
      </c>
      <c r="G643" s="40">
        <v>5</v>
      </c>
      <c r="H643" s="41">
        <v>40513.497916666667</v>
      </c>
      <c r="I643" s="40">
        <v>2.1</v>
      </c>
      <c r="J643" s="40">
        <v>12838</v>
      </c>
      <c r="K643" s="40" t="s">
        <v>71</v>
      </c>
      <c r="L643" s="42">
        <v>10.5</v>
      </c>
      <c r="M643" s="40" t="s">
        <v>721</v>
      </c>
      <c r="N643" s="40">
        <v>2010</v>
      </c>
      <c r="O643" s="40" t="s">
        <v>83</v>
      </c>
      <c r="P643" s="40" t="s">
        <v>126</v>
      </c>
      <c r="Q643" s="40" t="s">
        <v>624</v>
      </c>
      <c r="R643" s="40">
        <v>11</v>
      </c>
      <c r="S643" s="40" t="b">
        <v>0</v>
      </c>
      <c r="T643" s="40" t="b">
        <v>1</v>
      </c>
      <c r="U643" s="42">
        <f t="shared" si="9"/>
        <v>10.5</v>
      </c>
      <c r="V643" s="42">
        <v>0</v>
      </c>
      <c r="W643" s="42">
        <v>10.5</v>
      </c>
    </row>
    <row r="644" spans="4:23" x14ac:dyDescent="0.15">
      <c r="D644" s="43" t="s">
        <v>1356</v>
      </c>
      <c r="E644" s="43" t="s">
        <v>487</v>
      </c>
      <c r="F644" s="43" t="s">
        <v>488</v>
      </c>
      <c r="G644" s="43">
        <v>3</v>
      </c>
      <c r="H644" s="44">
        <v>40513.497916666667</v>
      </c>
      <c r="I644" s="43">
        <v>0.85</v>
      </c>
      <c r="J644" s="43">
        <v>12838</v>
      </c>
      <c r="K644" s="43" t="s">
        <v>71</v>
      </c>
      <c r="L644" s="45">
        <v>2.5499999999999998</v>
      </c>
      <c r="M644" s="43" t="s">
        <v>721</v>
      </c>
      <c r="N644" s="43">
        <v>2010</v>
      </c>
      <c r="O644" s="43" t="s">
        <v>83</v>
      </c>
      <c r="P644" s="43" t="s">
        <v>126</v>
      </c>
      <c r="Q644" s="43" t="s">
        <v>624</v>
      </c>
      <c r="R644" s="43">
        <v>11</v>
      </c>
      <c r="S644" s="43" t="b">
        <v>0</v>
      </c>
      <c r="T644" s="43" t="b">
        <v>1</v>
      </c>
      <c r="U644" s="45">
        <f t="shared" si="9"/>
        <v>2.5499999999999998</v>
      </c>
      <c r="V644" s="45">
        <v>0</v>
      </c>
      <c r="W644" s="45">
        <v>2.5499999999999998</v>
      </c>
    </row>
    <row r="645" spans="4:23" x14ac:dyDescent="0.15">
      <c r="D645" s="40" t="s">
        <v>1356</v>
      </c>
      <c r="E645" s="40" t="s">
        <v>495</v>
      </c>
      <c r="F645" s="40" t="s">
        <v>496</v>
      </c>
      <c r="G645" s="40">
        <v>4</v>
      </c>
      <c r="H645" s="41">
        <v>40513.497916666667</v>
      </c>
      <c r="I645" s="40">
        <v>2.1</v>
      </c>
      <c r="J645" s="40">
        <v>12838</v>
      </c>
      <c r="K645" s="40" t="s">
        <v>71</v>
      </c>
      <c r="L645" s="42">
        <v>8.4</v>
      </c>
      <c r="M645" s="40" t="s">
        <v>721</v>
      </c>
      <c r="N645" s="40">
        <v>2010</v>
      </c>
      <c r="O645" s="40" t="s">
        <v>83</v>
      </c>
      <c r="P645" s="40" t="s">
        <v>126</v>
      </c>
      <c r="Q645" s="40" t="s">
        <v>624</v>
      </c>
      <c r="R645" s="40">
        <v>11</v>
      </c>
      <c r="S645" s="40" t="b">
        <v>0</v>
      </c>
      <c r="T645" s="40" t="b">
        <v>1</v>
      </c>
      <c r="U645" s="42">
        <f t="shared" ref="U645:U708" si="10">IF(T645,L645,0)</f>
        <v>8.4</v>
      </c>
      <c r="V645" s="42">
        <v>0</v>
      </c>
      <c r="W645" s="42">
        <v>8.4</v>
      </c>
    </row>
    <row r="646" spans="4:23" x14ac:dyDescent="0.15">
      <c r="D646" s="43" t="s">
        <v>1356</v>
      </c>
      <c r="E646" s="43" t="s">
        <v>413</v>
      </c>
      <c r="F646" s="43" t="s">
        <v>414</v>
      </c>
      <c r="G646" s="43">
        <v>3</v>
      </c>
      <c r="H646" s="44">
        <v>40513.497916666667</v>
      </c>
      <c r="I646" s="43">
        <v>2.95</v>
      </c>
      <c r="J646" s="43">
        <v>12838</v>
      </c>
      <c r="K646" s="43" t="s">
        <v>71</v>
      </c>
      <c r="L646" s="45">
        <v>8.8500000000000014</v>
      </c>
      <c r="M646" s="43" t="s">
        <v>721</v>
      </c>
      <c r="N646" s="43">
        <v>2010</v>
      </c>
      <c r="O646" s="43" t="s">
        <v>83</v>
      </c>
      <c r="P646" s="43" t="s">
        <v>126</v>
      </c>
      <c r="Q646" s="43" t="s">
        <v>624</v>
      </c>
      <c r="R646" s="43">
        <v>11</v>
      </c>
      <c r="S646" s="43" t="b">
        <v>0</v>
      </c>
      <c r="T646" s="43" t="b">
        <v>1</v>
      </c>
      <c r="U646" s="45">
        <f t="shared" si="10"/>
        <v>8.8500000000000014</v>
      </c>
      <c r="V646" s="45">
        <v>0</v>
      </c>
      <c r="W646" s="45">
        <v>8.8500000000000014</v>
      </c>
    </row>
    <row r="647" spans="4:23" x14ac:dyDescent="0.15">
      <c r="D647" s="40" t="s">
        <v>1356</v>
      </c>
      <c r="E647" s="40" t="s">
        <v>251</v>
      </c>
      <c r="F647" s="40" t="s">
        <v>252</v>
      </c>
      <c r="G647" s="40">
        <v>3</v>
      </c>
      <c r="H647" s="41">
        <v>40513.497916666667</v>
      </c>
      <c r="I647" s="40">
        <v>1.45</v>
      </c>
      <c r="J647" s="40">
        <v>12838</v>
      </c>
      <c r="K647" s="40" t="s">
        <v>71</v>
      </c>
      <c r="L647" s="42">
        <v>4.3499999999999996</v>
      </c>
      <c r="M647" s="40" t="s">
        <v>721</v>
      </c>
      <c r="N647" s="40">
        <v>2010</v>
      </c>
      <c r="O647" s="40" t="s">
        <v>83</v>
      </c>
      <c r="P647" s="40" t="s">
        <v>126</v>
      </c>
      <c r="Q647" s="40" t="s">
        <v>624</v>
      </c>
      <c r="R647" s="40">
        <v>11</v>
      </c>
      <c r="S647" s="40" t="b">
        <v>0</v>
      </c>
      <c r="T647" s="40" t="b">
        <v>1</v>
      </c>
      <c r="U647" s="42">
        <f t="shared" si="10"/>
        <v>4.3499999999999996</v>
      </c>
      <c r="V647" s="42">
        <v>0</v>
      </c>
      <c r="W647" s="42">
        <v>4.3499999999999996</v>
      </c>
    </row>
    <row r="648" spans="4:23" x14ac:dyDescent="0.15">
      <c r="D648" s="43" t="s">
        <v>1356</v>
      </c>
      <c r="E648" s="43" t="s">
        <v>1379</v>
      </c>
      <c r="F648" s="43" t="s">
        <v>1380</v>
      </c>
      <c r="G648" s="43">
        <v>12</v>
      </c>
      <c r="H648" s="44">
        <v>40513.497916666667</v>
      </c>
      <c r="I648" s="43">
        <v>0.85</v>
      </c>
      <c r="J648" s="43">
        <v>12838</v>
      </c>
      <c r="K648" s="43" t="s">
        <v>71</v>
      </c>
      <c r="L648" s="45">
        <v>10.199999999999999</v>
      </c>
      <c r="M648" s="43" t="s">
        <v>721</v>
      </c>
      <c r="N648" s="43">
        <v>2010</v>
      </c>
      <c r="O648" s="43" t="s">
        <v>83</v>
      </c>
      <c r="P648" s="43" t="s">
        <v>126</v>
      </c>
      <c r="Q648" s="43" t="s">
        <v>624</v>
      </c>
      <c r="R648" s="43">
        <v>11</v>
      </c>
      <c r="S648" s="43" t="b">
        <v>0</v>
      </c>
      <c r="T648" s="43" t="b">
        <v>1</v>
      </c>
      <c r="U648" s="45">
        <f t="shared" si="10"/>
        <v>10.199999999999999</v>
      </c>
      <c r="V648" s="45">
        <v>0</v>
      </c>
      <c r="W648" s="45">
        <v>10.199999999999999</v>
      </c>
    </row>
    <row r="649" spans="4:23" x14ac:dyDescent="0.15">
      <c r="D649" s="40" t="s">
        <v>1356</v>
      </c>
      <c r="E649" s="40" t="s">
        <v>1381</v>
      </c>
      <c r="F649" s="40" t="s">
        <v>1382</v>
      </c>
      <c r="G649" s="40">
        <v>5</v>
      </c>
      <c r="H649" s="41">
        <v>40513.497916666667</v>
      </c>
      <c r="I649" s="40">
        <v>0.85</v>
      </c>
      <c r="J649" s="40">
        <v>12838</v>
      </c>
      <c r="K649" s="40" t="s">
        <v>71</v>
      </c>
      <c r="L649" s="42">
        <v>4.25</v>
      </c>
      <c r="M649" s="40" t="s">
        <v>721</v>
      </c>
      <c r="N649" s="40">
        <v>2010</v>
      </c>
      <c r="O649" s="40" t="s">
        <v>83</v>
      </c>
      <c r="P649" s="40" t="s">
        <v>126</v>
      </c>
      <c r="Q649" s="40" t="s">
        <v>624</v>
      </c>
      <c r="R649" s="40">
        <v>11</v>
      </c>
      <c r="S649" s="40" t="b">
        <v>0</v>
      </c>
      <c r="T649" s="40" t="b">
        <v>1</v>
      </c>
      <c r="U649" s="42">
        <f t="shared" si="10"/>
        <v>4.25</v>
      </c>
      <c r="V649" s="42">
        <v>0</v>
      </c>
      <c r="W649" s="42">
        <v>4.25</v>
      </c>
    </row>
    <row r="650" spans="4:23" x14ac:dyDescent="0.15">
      <c r="D650" s="43" t="s">
        <v>1356</v>
      </c>
      <c r="E650" s="43" t="s">
        <v>1383</v>
      </c>
      <c r="F650" s="43" t="s">
        <v>1384</v>
      </c>
      <c r="G650" s="43">
        <v>4</v>
      </c>
      <c r="H650" s="44">
        <v>40513.497916666667</v>
      </c>
      <c r="I650" s="43">
        <v>0.85</v>
      </c>
      <c r="J650" s="43">
        <v>12838</v>
      </c>
      <c r="K650" s="43" t="s">
        <v>71</v>
      </c>
      <c r="L650" s="45">
        <v>3.4</v>
      </c>
      <c r="M650" s="43" t="s">
        <v>721</v>
      </c>
      <c r="N650" s="43">
        <v>2010</v>
      </c>
      <c r="O650" s="43" t="s">
        <v>83</v>
      </c>
      <c r="P650" s="43" t="s">
        <v>126</v>
      </c>
      <c r="Q650" s="43" t="s">
        <v>624</v>
      </c>
      <c r="R650" s="43">
        <v>11</v>
      </c>
      <c r="S650" s="43" t="b">
        <v>0</v>
      </c>
      <c r="T650" s="43" t="b">
        <v>1</v>
      </c>
      <c r="U650" s="45">
        <f t="shared" si="10"/>
        <v>3.4</v>
      </c>
      <c r="V650" s="45">
        <v>0</v>
      </c>
      <c r="W650" s="45">
        <v>3.4</v>
      </c>
    </row>
    <row r="651" spans="4:23" x14ac:dyDescent="0.15">
      <c r="D651" s="40" t="s">
        <v>1356</v>
      </c>
      <c r="E651" s="40" t="s">
        <v>1385</v>
      </c>
      <c r="F651" s="40" t="s">
        <v>1386</v>
      </c>
      <c r="G651" s="40">
        <v>6</v>
      </c>
      <c r="H651" s="41">
        <v>40513.497916666667</v>
      </c>
      <c r="I651" s="40">
        <v>0.85</v>
      </c>
      <c r="J651" s="40">
        <v>12838</v>
      </c>
      <c r="K651" s="40" t="s">
        <v>71</v>
      </c>
      <c r="L651" s="42">
        <v>5.0999999999999996</v>
      </c>
      <c r="M651" s="40" t="s">
        <v>721</v>
      </c>
      <c r="N651" s="40">
        <v>2010</v>
      </c>
      <c r="O651" s="40" t="s">
        <v>83</v>
      </c>
      <c r="P651" s="40" t="s">
        <v>126</v>
      </c>
      <c r="Q651" s="40" t="s">
        <v>624</v>
      </c>
      <c r="R651" s="40">
        <v>11</v>
      </c>
      <c r="S651" s="40" t="b">
        <v>0</v>
      </c>
      <c r="T651" s="40" t="b">
        <v>1</v>
      </c>
      <c r="U651" s="42">
        <f t="shared" si="10"/>
        <v>5.0999999999999996</v>
      </c>
      <c r="V651" s="42">
        <v>0</v>
      </c>
      <c r="W651" s="42">
        <v>5.0999999999999996</v>
      </c>
    </row>
    <row r="652" spans="4:23" x14ac:dyDescent="0.15">
      <c r="D652" s="43" t="s">
        <v>1356</v>
      </c>
      <c r="E652" s="43" t="s">
        <v>1387</v>
      </c>
      <c r="F652" s="43" t="s">
        <v>1388</v>
      </c>
      <c r="G652" s="43">
        <v>12</v>
      </c>
      <c r="H652" s="44">
        <v>40513.497916666667</v>
      </c>
      <c r="I652" s="43">
        <v>0.28999999999999998</v>
      </c>
      <c r="J652" s="43">
        <v>12838</v>
      </c>
      <c r="K652" s="43" t="s">
        <v>71</v>
      </c>
      <c r="L652" s="45">
        <v>3.48</v>
      </c>
      <c r="M652" s="43" t="s">
        <v>721</v>
      </c>
      <c r="N652" s="43">
        <v>2010</v>
      </c>
      <c r="O652" s="43" t="s">
        <v>83</v>
      </c>
      <c r="P652" s="43" t="s">
        <v>126</v>
      </c>
      <c r="Q652" s="43" t="s">
        <v>624</v>
      </c>
      <c r="R652" s="43">
        <v>11</v>
      </c>
      <c r="S652" s="43" t="b">
        <v>0</v>
      </c>
      <c r="T652" s="43" t="b">
        <v>1</v>
      </c>
      <c r="U652" s="45">
        <f t="shared" si="10"/>
        <v>3.48</v>
      </c>
      <c r="V652" s="45">
        <v>0</v>
      </c>
      <c r="W652" s="45">
        <v>3.48</v>
      </c>
    </row>
    <row r="653" spans="4:23" x14ac:dyDescent="0.15">
      <c r="D653" s="40" t="s">
        <v>1356</v>
      </c>
      <c r="E653" s="40" t="s">
        <v>1389</v>
      </c>
      <c r="F653" s="40" t="s">
        <v>1390</v>
      </c>
      <c r="G653" s="40">
        <v>2</v>
      </c>
      <c r="H653" s="41">
        <v>40513.497916666667</v>
      </c>
      <c r="I653" s="40">
        <v>3.75</v>
      </c>
      <c r="J653" s="40">
        <v>12838</v>
      </c>
      <c r="K653" s="40" t="s">
        <v>71</v>
      </c>
      <c r="L653" s="42">
        <v>7.5</v>
      </c>
      <c r="M653" s="40" t="s">
        <v>721</v>
      </c>
      <c r="N653" s="40">
        <v>2010</v>
      </c>
      <c r="O653" s="40" t="s">
        <v>83</v>
      </c>
      <c r="P653" s="40" t="s">
        <v>126</v>
      </c>
      <c r="Q653" s="40" t="s">
        <v>624</v>
      </c>
      <c r="R653" s="40">
        <v>11</v>
      </c>
      <c r="S653" s="40" t="b">
        <v>0</v>
      </c>
      <c r="T653" s="40" t="b">
        <v>1</v>
      </c>
      <c r="U653" s="42">
        <f t="shared" si="10"/>
        <v>7.5</v>
      </c>
      <c r="V653" s="42">
        <v>0</v>
      </c>
      <c r="W653" s="42">
        <v>7.5</v>
      </c>
    </row>
    <row r="654" spans="4:23" x14ac:dyDescent="0.15">
      <c r="D654" s="43" t="s">
        <v>1356</v>
      </c>
      <c r="E654" s="43" t="s">
        <v>1391</v>
      </c>
      <c r="F654" s="43" t="s">
        <v>1392</v>
      </c>
      <c r="G654" s="43">
        <v>12</v>
      </c>
      <c r="H654" s="44">
        <v>40513.497916666667</v>
      </c>
      <c r="I654" s="43">
        <v>0.28999999999999998</v>
      </c>
      <c r="J654" s="43">
        <v>12838</v>
      </c>
      <c r="K654" s="43" t="s">
        <v>71</v>
      </c>
      <c r="L654" s="45">
        <v>3.48</v>
      </c>
      <c r="M654" s="43" t="s">
        <v>721</v>
      </c>
      <c r="N654" s="43">
        <v>2010</v>
      </c>
      <c r="O654" s="43" t="s">
        <v>83</v>
      </c>
      <c r="P654" s="43" t="s">
        <v>126</v>
      </c>
      <c r="Q654" s="43" t="s">
        <v>624</v>
      </c>
      <c r="R654" s="43">
        <v>11</v>
      </c>
      <c r="S654" s="43" t="b">
        <v>0</v>
      </c>
      <c r="T654" s="43" t="b">
        <v>1</v>
      </c>
      <c r="U654" s="45">
        <f t="shared" si="10"/>
        <v>3.48</v>
      </c>
      <c r="V654" s="45">
        <v>0</v>
      </c>
      <c r="W654" s="45">
        <v>3.48</v>
      </c>
    </row>
    <row r="655" spans="4:23" x14ac:dyDescent="0.15">
      <c r="D655" s="40" t="s">
        <v>1356</v>
      </c>
      <c r="E655" s="40" t="s">
        <v>1393</v>
      </c>
      <c r="F655" s="40" t="s">
        <v>1394</v>
      </c>
      <c r="G655" s="40">
        <v>1</v>
      </c>
      <c r="H655" s="41">
        <v>40513.497916666667</v>
      </c>
      <c r="I655" s="40">
        <v>1.25</v>
      </c>
      <c r="J655" s="40">
        <v>12838</v>
      </c>
      <c r="K655" s="40" t="s">
        <v>71</v>
      </c>
      <c r="L655" s="42">
        <v>1.25</v>
      </c>
      <c r="M655" s="40" t="s">
        <v>721</v>
      </c>
      <c r="N655" s="40">
        <v>2010</v>
      </c>
      <c r="O655" s="40" t="s">
        <v>83</v>
      </c>
      <c r="P655" s="40" t="s">
        <v>126</v>
      </c>
      <c r="Q655" s="40" t="s">
        <v>624</v>
      </c>
      <c r="R655" s="40">
        <v>11</v>
      </c>
      <c r="S655" s="40" t="b">
        <v>0</v>
      </c>
      <c r="T655" s="40" t="b">
        <v>1</v>
      </c>
      <c r="U655" s="42">
        <f t="shared" si="10"/>
        <v>1.25</v>
      </c>
      <c r="V655" s="42">
        <v>0</v>
      </c>
      <c r="W655" s="42">
        <v>1.25</v>
      </c>
    </row>
    <row r="656" spans="4:23" x14ac:dyDescent="0.15">
      <c r="D656" s="43" t="s">
        <v>1356</v>
      </c>
      <c r="E656" s="43" t="s">
        <v>1395</v>
      </c>
      <c r="F656" s="43" t="s">
        <v>1396</v>
      </c>
      <c r="G656" s="43">
        <v>2</v>
      </c>
      <c r="H656" s="44">
        <v>40513.497916666667</v>
      </c>
      <c r="I656" s="43">
        <v>2.1</v>
      </c>
      <c r="J656" s="43">
        <v>12838</v>
      </c>
      <c r="K656" s="43" t="s">
        <v>71</v>
      </c>
      <c r="L656" s="45">
        <v>4.2</v>
      </c>
      <c r="M656" s="43" t="s">
        <v>721</v>
      </c>
      <c r="N656" s="43">
        <v>2010</v>
      </c>
      <c r="O656" s="43" t="s">
        <v>83</v>
      </c>
      <c r="P656" s="43" t="s">
        <v>126</v>
      </c>
      <c r="Q656" s="43" t="s">
        <v>624</v>
      </c>
      <c r="R656" s="43">
        <v>11</v>
      </c>
      <c r="S656" s="43" t="b">
        <v>0</v>
      </c>
      <c r="T656" s="43" t="b">
        <v>1</v>
      </c>
      <c r="U656" s="45">
        <f t="shared" si="10"/>
        <v>4.2</v>
      </c>
      <c r="V656" s="45">
        <v>0</v>
      </c>
      <c r="W656" s="45">
        <v>4.2</v>
      </c>
    </row>
    <row r="657" spans="4:23" x14ac:dyDescent="0.15">
      <c r="D657" s="40" t="s">
        <v>1356</v>
      </c>
      <c r="E657" s="40" t="s">
        <v>1397</v>
      </c>
      <c r="F657" s="40" t="s">
        <v>1398</v>
      </c>
      <c r="G657" s="40">
        <v>3</v>
      </c>
      <c r="H657" s="41">
        <v>40513.497916666667</v>
      </c>
      <c r="I657" s="40">
        <v>1.95</v>
      </c>
      <c r="J657" s="40">
        <v>12838</v>
      </c>
      <c r="K657" s="40" t="s">
        <v>71</v>
      </c>
      <c r="L657" s="42">
        <v>5.85</v>
      </c>
      <c r="M657" s="40" t="s">
        <v>721</v>
      </c>
      <c r="N657" s="40">
        <v>2010</v>
      </c>
      <c r="O657" s="40" t="s">
        <v>83</v>
      </c>
      <c r="P657" s="40" t="s">
        <v>126</v>
      </c>
      <c r="Q657" s="40" t="s">
        <v>624</v>
      </c>
      <c r="R657" s="40">
        <v>11</v>
      </c>
      <c r="S657" s="40" t="b">
        <v>0</v>
      </c>
      <c r="T657" s="40" t="b">
        <v>1</v>
      </c>
      <c r="U657" s="42">
        <f t="shared" si="10"/>
        <v>5.85</v>
      </c>
      <c r="V657" s="42">
        <v>0</v>
      </c>
      <c r="W657" s="42">
        <v>5.85</v>
      </c>
    </row>
    <row r="658" spans="4:23" x14ac:dyDescent="0.15">
      <c r="D658" s="43" t="s">
        <v>1356</v>
      </c>
      <c r="E658" s="43" t="s">
        <v>1399</v>
      </c>
      <c r="F658" s="43" t="s">
        <v>1400</v>
      </c>
      <c r="G658" s="43">
        <v>3</v>
      </c>
      <c r="H658" s="44">
        <v>40513.497916666667</v>
      </c>
      <c r="I658" s="43">
        <v>8.5</v>
      </c>
      <c r="J658" s="43">
        <v>12838</v>
      </c>
      <c r="K658" s="43" t="s">
        <v>71</v>
      </c>
      <c r="L658" s="45">
        <v>25.5</v>
      </c>
      <c r="M658" s="43" t="s">
        <v>721</v>
      </c>
      <c r="N658" s="43">
        <v>2010</v>
      </c>
      <c r="O658" s="43" t="s">
        <v>83</v>
      </c>
      <c r="P658" s="43" t="s">
        <v>126</v>
      </c>
      <c r="Q658" s="43" t="s">
        <v>624</v>
      </c>
      <c r="R658" s="43">
        <v>11</v>
      </c>
      <c r="S658" s="43" t="b">
        <v>0</v>
      </c>
      <c r="T658" s="43" t="b">
        <v>1</v>
      </c>
      <c r="U658" s="45">
        <f t="shared" si="10"/>
        <v>25.5</v>
      </c>
      <c r="V658" s="45">
        <v>0</v>
      </c>
      <c r="W658" s="45">
        <v>25.5</v>
      </c>
    </row>
    <row r="659" spans="4:23" x14ac:dyDescent="0.15">
      <c r="D659" s="40" t="s">
        <v>1356</v>
      </c>
      <c r="E659" s="40" t="s">
        <v>447</v>
      </c>
      <c r="F659" s="40" t="s">
        <v>448</v>
      </c>
      <c r="G659" s="40">
        <v>3</v>
      </c>
      <c r="H659" s="41">
        <v>40513.497916666667</v>
      </c>
      <c r="I659" s="40">
        <v>8.5</v>
      </c>
      <c r="J659" s="40">
        <v>12838</v>
      </c>
      <c r="K659" s="40" t="s">
        <v>71</v>
      </c>
      <c r="L659" s="42">
        <v>25.5</v>
      </c>
      <c r="M659" s="40" t="s">
        <v>721</v>
      </c>
      <c r="N659" s="40">
        <v>2010</v>
      </c>
      <c r="O659" s="40" t="s">
        <v>83</v>
      </c>
      <c r="P659" s="40" t="s">
        <v>126</v>
      </c>
      <c r="Q659" s="40" t="s">
        <v>624</v>
      </c>
      <c r="R659" s="40">
        <v>11</v>
      </c>
      <c r="S659" s="40" t="b">
        <v>0</v>
      </c>
      <c r="T659" s="40" t="b">
        <v>1</v>
      </c>
      <c r="U659" s="42">
        <f t="shared" si="10"/>
        <v>25.5</v>
      </c>
      <c r="V659" s="42">
        <v>0</v>
      </c>
      <c r="W659" s="42">
        <v>25.5</v>
      </c>
    </row>
    <row r="660" spans="4:23" x14ac:dyDescent="0.15">
      <c r="D660" s="43" t="s">
        <v>1356</v>
      </c>
      <c r="E660" s="43" t="s">
        <v>175</v>
      </c>
      <c r="F660" s="43" t="s">
        <v>176</v>
      </c>
      <c r="G660" s="43">
        <v>6</v>
      </c>
      <c r="H660" s="44">
        <v>40513.497916666667</v>
      </c>
      <c r="I660" s="43">
        <v>2.95</v>
      </c>
      <c r="J660" s="43">
        <v>12838</v>
      </c>
      <c r="K660" s="43" t="s">
        <v>71</v>
      </c>
      <c r="L660" s="45">
        <v>17.7</v>
      </c>
      <c r="M660" s="43" t="s">
        <v>721</v>
      </c>
      <c r="N660" s="43">
        <v>2010</v>
      </c>
      <c r="O660" s="43" t="s">
        <v>83</v>
      </c>
      <c r="P660" s="43" t="s">
        <v>126</v>
      </c>
      <c r="Q660" s="43" t="s">
        <v>624</v>
      </c>
      <c r="R660" s="43">
        <v>11</v>
      </c>
      <c r="S660" s="43" t="b">
        <v>0</v>
      </c>
      <c r="T660" s="43" t="b">
        <v>1</v>
      </c>
      <c r="U660" s="45">
        <f t="shared" si="10"/>
        <v>17.7</v>
      </c>
      <c r="V660" s="45">
        <v>0</v>
      </c>
      <c r="W660" s="45">
        <v>17.7</v>
      </c>
    </row>
    <row r="661" spans="4:23" x14ac:dyDescent="0.15">
      <c r="D661" s="40" t="s">
        <v>1356</v>
      </c>
      <c r="E661" s="40" t="s">
        <v>1311</v>
      </c>
      <c r="F661" s="40" t="s">
        <v>1312</v>
      </c>
      <c r="G661" s="40">
        <v>2</v>
      </c>
      <c r="H661" s="41">
        <v>40513.497916666667</v>
      </c>
      <c r="I661" s="40">
        <v>4.25</v>
      </c>
      <c r="J661" s="40">
        <v>12838</v>
      </c>
      <c r="K661" s="40" t="s">
        <v>71</v>
      </c>
      <c r="L661" s="42">
        <v>8.5</v>
      </c>
      <c r="M661" s="40" t="s">
        <v>721</v>
      </c>
      <c r="N661" s="40">
        <v>2010</v>
      </c>
      <c r="O661" s="40" t="s">
        <v>83</v>
      </c>
      <c r="P661" s="40" t="s">
        <v>126</v>
      </c>
      <c r="Q661" s="40" t="s">
        <v>624</v>
      </c>
      <c r="R661" s="40">
        <v>11</v>
      </c>
      <c r="S661" s="40" t="b">
        <v>0</v>
      </c>
      <c r="T661" s="40" t="b">
        <v>1</v>
      </c>
      <c r="U661" s="42">
        <f t="shared" si="10"/>
        <v>8.5</v>
      </c>
      <c r="V661" s="42">
        <v>0</v>
      </c>
      <c r="W661" s="42">
        <v>8.5</v>
      </c>
    </row>
    <row r="662" spans="4:23" x14ac:dyDescent="0.15">
      <c r="D662" s="43" t="s">
        <v>1356</v>
      </c>
      <c r="E662" s="43" t="s">
        <v>323</v>
      </c>
      <c r="F662" s="43" t="s">
        <v>324</v>
      </c>
      <c r="G662" s="43">
        <v>2</v>
      </c>
      <c r="H662" s="44">
        <v>40513.497916666667</v>
      </c>
      <c r="I662" s="43">
        <v>0.55000000000000004</v>
      </c>
      <c r="J662" s="43">
        <v>12838</v>
      </c>
      <c r="K662" s="43" t="s">
        <v>71</v>
      </c>
      <c r="L662" s="45">
        <v>1.1000000000000001</v>
      </c>
      <c r="M662" s="43" t="s">
        <v>721</v>
      </c>
      <c r="N662" s="43">
        <v>2010</v>
      </c>
      <c r="O662" s="43" t="s">
        <v>83</v>
      </c>
      <c r="P662" s="43" t="s">
        <v>126</v>
      </c>
      <c r="Q662" s="43" t="s">
        <v>624</v>
      </c>
      <c r="R662" s="43">
        <v>11</v>
      </c>
      <c r="S662" s="43" t="b">
        <v>0</v>
      </c>
      <c r="T662" s="43" t="b">
        <v>1</v>
      </c>
      <c r="U662" s="45">
        <f t="shared" si="10"/>
        <v>1.1000000000000001</v>
      </c>
      <c r="V662" s="45">
        <v>0</v>
      </c>
      <c r="W662" s="45">
        <v>1.1000000000000001</v>
      </c>
    </row>
    <row r="663" spans="4:23" x14ac:dyDescent="0.15">
      <c r="D663" s="40" t="s">
        <v>1356</v>
      </c>
      <c r="E663" s="40" t="s">
        <v>1401</v>
      </c>
      <c r="F663" s="40" t="s">
        <v>1402</v>
      </c>
      <c r="G663" s="40">
        <v>2</v>
      </c>
      <c r="H663" s="41">
        <v>40513.497916666667</v>
      </c>
      <c r="I663" s="40">
        <v>0.55000000000000004</v>
      </c>
      <c r="J663" s="40">
        <v>12838</v>
      </c>
      <c r="K663" s="40" t="s">
        <v>71</v>
      </c>
      <c r="L663" s="42">
        <v>1.1000000000000001</v>
      </c>
      <c r="M663" s="40" t="s">
        <v>721</v>
      </c>
      <c r="N663" s="40">
        <v>2010</v>
      </c>
      <c r="O663" s="40" t="s">
        <v>83</v>
      </c>
      <c r="P663" s="40" t="s">
        <v>126</v>
      </c>
      <c r="Q663" s="40" t="s">
        <v>624</v>
      </c>
      <c r="R663" s="40">
        <v>11</v>
      </c>
      <c r="S663" s="40" t="b">
        <v>0</v>
      </c>
      <c r="T663" s="40" t="b">
        <v>1</v>
      </c>
      <c r="U663" s="42">
        <f t="shared" si="10"/>
        <v>1.1000000000000001</v>
      </c>
      <c r="V663" s="42">
        <v>0</v>
      </c>
      <c r="W663" s="42">
        <v>1.1000000000000001</v>
      </c>
    </row>
    <row r="664" spans="4:23" x14ac:dyDescent="0.15">
      <c r="D664" s="43" t="s">
        <v>1356</v>
      </c>
      <c r="E664" s="43" t="s">
        <v>1403</v>
      </c>
      <c r="F664" s="43" t="s">
        <v>1404</v>
      </c>
      <c r="G664" s="43">
        <v>2</v>
      </c>
      <c r="H664" s="44">
        <v>40513.497916666667</v>
      </c>
      <c r="I664" s="43">
        <v>0.55000000000000004</v>
      </c>
      <c r="J664" s="43">
        <v>12838</v>
      </c>
      <c r="K664" s="43" t="s">
        <v>71</v>
      </c>
      <c r="L664" s="45">
        <v>1.1000000000000001</v>
      </c>
      <c r="M664" s="43" t="s">
        <v>721</v>
      </c>
      <c r="N664" s="43">
        <v>2010</v>
      </c>
      <c r="O664" s="43" t="s">
        <v>83</v>
      </c>
      <c r="P664" s="43" t="s">
        <v>126</v>
      </c>
      <c r="Q664" s="43" t="s">
        <v>624</v>
      </c>
      <c r="R664" s="43">
        <v>11</v>
      </c>
      <c r="S664" s="43" t="b">
        <v>0</v>
      </c>
      <c r="T664" s="43" t="b">
        <v>1</v>
      </c>
      <c r="U664" s="45">
        <f t="shared" si="10"/>
        <v>1.1000000000000001</v>
      </c>
      <c r="V664" s="45">
        <v>0</v>
      </c>
      <c r="W664" s="45">
        <v>1.1000000000000001</v>
      </c>
    </row>
    <row r="665" spans="4:23" x14ac:dyDescent="0.15">
      <c r="D665" s="40" t="s">
        <v>1356</v>
      </c>
      <c r="E665" s="40" t="s">
        <v>499</v>
      </c>
      <c r="F665" s="40" t="s">
        <v>500</v>
      </c>
      <c r="G665" s="40">
        <v>3</v>
      </c>
      <c r="H665" s="41">
        <v>40513.497916666667</v>
      </c>
      <c r="I665" s="40">
        <v>0.55000000000000004</v>
      </c>
      <c r="J665" s="40">
        <v>12838</v>
      </c>
      <c r="K665" s="40" t="s">
        <v>71</v>
      </c>
      <c r="L665" s="42">
        <v>1.65</v>
      </c>
      <c r="M665" s="40" t="s">
        <v>721</v>
      </c>
      <c r="N665" s="40">
        <v>2010</v>
      </c>
      <c r="O665" s="40" t="s">
        <v>83</v>
      </c>
      <c r="P665" s="40" t="s">
        <v>126</v>
      </c>
      <c r="Q665" s="40" t="s">
        <v>624</v>
      </c>
      <c r="R665" s="40">
        <v>11</v>
      </c>
      <c r="S665" s="40" t="b">
        <v>0</v>
      </c>
      <c r="T665" s="40" t="b">
        <v>1</v>
      </c>
      <c r="U665" s="42">
        <f t="shared" si="10"/>
        <v>1.65</v>
      </c>
      <c r="V665" s="42">
        <v>0</v>
      </c>
      <c r="W665" s="42">
        <v>1.65</v>
      </c>
    </row>
    <row r="666" spans="4:23" x14ac:dyDescent="0.15">
      <c r="D666" s="43" t="s">
        <v>1356</v>
      </c>
      <c r="E666" s="43" t="s">
        <v>1405</v>
      </c>
      <c r="F666" s="43" t="s">
        <v>1406</v>
      </c>
      <c r="G666" s="43">
        <v>3</v>
      </c>
      <c r="H666" s="44">
        <v>40513.497916666667</v>
      </c>
      <c r="I666" s="43">
        <v>2.1</v>
      </c>
      <c r="J666" s="43">
        <v>12838</v>
      </c>
      <c r="K666" s="43" t="s">
        <v>71</v>
      </c>
      <c r="L666" s="45">
        <v>6.3000000000000007</v>
      </c>
      <c r="M666" s="43" t="s">
        <v>721</v>
      </c>
      <c r="N666" s="43">
        <v>2010</v>
      </c>
      <c r="O666" s="43" t="s">
        <v>83</v>
      </c>
      <c r="P666" s="43" t="s">
        <v>126</v>
      </c>
      <c r="Q666" s="43" t="s">
        <v>624</v>
      </c>
      <c r="R666" s="43">
        <v>11</v>
      </c>
      <c r="S666" s="43" t="b">
        <v>0</v>
      </c>
      <c r="T666" s="43" t="b">
        <v>1</v>
      </c>
      <c r="U666" s="45">
        <f t="shared" si="10"/>
        <v>6.3000000000000007</v>
      </c>
      <c r="V666" s="45">
        <v>0</v>
      </c>
      <c r="W666" s="45">
        <v>6.3000000000000007</v>
      </c>
    </row>
    <row r="667" spans="4:23" x14ac:dyDescent="0.15">
      <c r="D667" s="40" t="s">
        <v>1356</v>
      </c>
      <c r="E667" s="40" t="s">
        <v>435</v>
      </c>
      <c r="F667" s="40" t="s">
        <v>436</v>
      </c>
      <c r="G667" s="40">
        <v>3</v>
      </c>
      <c r="H667" s="41">
        <v>40513.497916666667</v>
      </c>
      <c r="I667" s="40">
        <v>2.1</v>
      </c>
      <c r="J667" s="40">
        <v>12838</v>
      </c>
      <c r="K667" s="40" t="s">
        <v>71</v>
      </c>
      <c r="L667" s="42">
        <v>6.3000000000000007</v>
      </c>
      <c r="M667" s="40" t="s">
        <v>721</v>
      </c>
      <c r="N667" s="40">
        <v>2010</v>
      </c>
      <c r="O667" s="40" t="s">
        <v>83</v>
      </c>
      <c r="P667" s="40" t="s">
        <v>126</v>
      </c>
      <c r="Q667" s="40" t="s">
        <v>624</v>
      </c>
      <c r="R667" s="40">
        <v>11</v>
      </c>
      <c r="S667" s="40" t="b">
        <v>0</v>
      </c>
      <c r="T667" s="40" t="b">
        <v>1</v>
      </c>
      <c r="U667" s="42">
        <f t="shared" si="10"/>
        <v>6.3000000000000007</v>
      </c>
      <c r="V667" s="42">
        <v>0</v>
      </c>
      <c r="W667" s="42">
        <v>6.3000000000000007</v>
      </c>
    </row>
    <row r="668" spans="4:23" x14ac:dyDescent="0.15">
      <c r="D668" s="43" t="s">
        <v>1356</v>
      </c>
      <c r="E668" s="43" t="s">
        <v>361</v>
      </c>
      <c r="F668" s="43" t="s">
        <v>362</v>
      </c>
      <c r="G668" s="43">
        <v>3</v>
      </c>
      <c r="H668" s="44">
        <v>40513.497916666667</v>
      </c>
      <c r="I668" s="43">
        <v>2.1</v>
      </c>
      <c r="J668" s="43">
        <v>12838</v>
      </c>
      <c r="K668" s="43" t="s">
        <v>71</v>
      </c>
      <c r="L668" s="45">
        <v>6.3000000000000007</v>
      </c>
      <c r="M668" s="43" t="s">
        <v>721</v>
      </c>
      <c r="N668" s="43">
        <v>2010</v>
      </c>
      <c r="O668" s="43" t="s">
        <v>83</v>
      </c>
      <c r="P668" s="43" t="s">
        <v>126</v>
      </c>
      <c r="Q668" s="43" t="s">
        <v>624</v>
      </c>
      <c r="R668" s="43">
        <v>11</v>
      </c>
      <c r="S668" s="43" t="b">
        <v>0</v>
      </c>
      <c r="T668" s="43" t="b">
        <v>1</v>
      </c>
      <c r="U668" s="45">
        <f t="shared" si="10"/>
        <v>6.3000000000000007</v>
      </c>
      <c r="V668" s="45">
        <v>0</v>
      </c>
      <c r="W668" s="45">
        <v>6.3000000000000007</v>
      </c>
    </row>
    <row r="669" spans="4:23" x14ac:dyDescent="0.15">
      <c r="D669" s="40" t="s">
        <v>1356</v>
      </c>
      <c r="E669" s="40" t="s">
        <v>731</v>
      </c>
      <c r="F669" s="40" t="s">
        <v>1017</v>
      </c>
      <c r="G669" s="40">
        <v>3</v>
      </c>
      <c r="H669" s="41">
        <v>40513.497916666667</v>
      </c>
      <c r="I669" s="40">
        <v>2.1</v>
      </c>
      <c r="J669" s="40">
        <v>12838</v>
      </c>
      <c r="K669" s="40" t="s">
        <v>71</v>
      </c>
      <c r="L669" s="42">
        <v>6.3000000000000007</v>
      </c>
      <c r="M669" s="40" t="s">
        <v>721</v>
      </c>
      <c r="N669" s="40">
        <v>2010</v>
      </c>
      <c r="O669" s="40" t="s">
        <v>83</v>
      </c>
      <c r="P669" s="40" t="s">
        <v>126</v>
      </c>
      <c r="Q669" s="40" t="s">
        <v>624</v>
      </c>
      <c r="R669" s="40">
        <v>11</v>
      </c>
      <c r="S669" s="40" t="b">
        <v>0</v>
      </c>
      <c r="T669" s="40" t="b">
        <v>1</v>
      </c>
      <c r="U669" s="42">
        <f t="shared" si="10"/>
        <v>6.3000000000000007</v>
      </c>
      <c r="V669" s="42">
        <v>0</v>
      </c>
      <c r="W669" s="42">
        <v>6.3000000000000007</v>
      </c>
    </row>
    <row r="670" spans="4:23" x14ac:dyDescent="0.15">
      <c r="D670" s="43" t="s">
        <v>1356</v>
      </c>
      <c r="E670" s="43" t="s">
        <v>1407</v>
      </c>
      <c r="F670" s="43" t="s">
        <v>1408</v>
      </c>
      <c r="G670" s="43">
        <v>2</v>
      </c>
      <c r="H670" s="44">
        <v>40513.497916666667</v>
      </c>
      <c r="I670" s="43">
        <v>0.42</v>
      </c>
      <c r="J670" s="43">
        <v>12838</v>
      </c>
      <c r="K670" s="43" t="s">
        <v>71</v>
      </c>
      <c r="L670" s="45">
        <v>0.84</v>
      </c>
      <c r="M670" s="43" t="s">
        <v>721</v>
      </c>
      <c r="N670" s="43">
        <v>2010</v>
      </c>
      <c r="O670" s="43" t="s">
        <v>83</v>
      </c>
      <c r="P670" s="43" t="s">
        <v>126</v>
      </c>
      <c r="Q670" s="43" t="s">
        <v>624</v>
      </c>
      <c r="R670" s="43">
        <v>11</v>
      </c>
      <c r="S670" s="43" t="b">
        <v>0</v>
      </c>
      <c r="T670" s="43" t="b">
        <v>1</v>
      </c>
      <c r="U670" s="45">
        <f t="shared" si="10"/>
        <v>0.84</v>
      </c>
      <c r="V670" s="45">
        <v>0</v>
      </c>
      <c r="W670" s="45">
        <v>0.84</v>
      </c>
    </row>
    <row r="671" spans="4:23" x14ac:dyDescent="0.15">
      <c r="D671" s="40" t="s">
        <v>1356</v>
      </c>
      <c r="E671" s="40" t="s">
        <v>1409</v>
      </c>
      <c r="F671" s="40" t="s">
        <v>1410</v>
      </c>
      <c r="G671" s="40">
        <v>4</v>
      </c>
      <c r="H671" s="41">
        <v>40513.497916666667</v>
      </c>
      <c r="I671" s="40">
        <v>0.85</v>
      </c>
      <c r="J671" s="40">
        <v>12838</v>
      </c>
      <c r="K671" s="40" t="s">
        <v>71</v>
      </c>
      <c r="L671" s="42">
        <v>3.4</v>
      </c>
      <c r="M671" s="40" t="s">
        <v>721</v>
      </c>
      <c r="N671" s="40">
        <v>2010</v>
      </c>
      <c r="O671" s="40" t="s">
        <v>83</v>
      </c>
      <c r="P671" s="40" t="s">
        <v>126</v>
      </c>
      <c r="Q671" s="40" t="s">
        <v>624</v>
      </c>
      <c r="R671" s="40">
        <v>11</v>
      </c>
      <c r="S671" s="40" t="b">
        <v>0</v>
      </c>
      <c r="T671" s="40" t="b">
        <v>1</v>
      </c>
      <c r="U671" s="42">
        <f t="shared" si="10"/>
        <v>3.4</v>
      </c>
      <c r="V671" s="42">
        <v>0</v>
      </c>
      <c r="W671" s="42">
        <v>3.4</v>
      </c>
    </row>
    <row r="672" spans="4:23" x14ac:dyDescent="0.15">
      <c r="D672" s="43" t="s">
        <v>1356</v>
      </c>
      <c r="E672" s="43" t="s">
        <v>1411</v>
      </c>
      <c r="F672" s="43" t="s">
        <v>1412</v>
      </c>
      <c r="G672" s="43">
        <v>3</v>
      </c>
      <c r="H672" s="44">
        <v>40513.497916666667</v>
      </c>
      <c r="I672" s="43">
        <v>0.85</v>
      </c>
      <c r="J672" s="43">
        <v>12838</v>
      </c>
      <c r="K672" s="43" t="s">
        <v>71</v>
      </c>
      <c r="L672" s="45">
        <v>2.5499999999999998</v>
      </c>
      <c r="M672" s="43" t="s">
        <v>721</v>
      </c>
      <c r="N672" s="43">
        <v>2010</v>
      </c>
      <c r="O672" s="43" t="s">
        <v>83</v>
      </c>
      <c r="P672" s="43" t="s">
        <v>126</v>
      </c>
      <c r="Q672" s="43" t="s">
        <v>624</v>
      </c>
      <c r="R672" s="43">
        <v>11</v>
      </c>
      <c r="S672" s="43" t="b">
        <v>0</v>
      </c>
      <c r="T672" s="43" t="b">
        <v>1</v>
      </c>
      <c r="U672" s="45">
        <f t="shared" si="10"/>
        <v>2.5499999999999998</v>
      </c>
      <c r="V672" s="45">
        <v>0</v>
      </c>
      <c r="W672" s="45">
        <v>2.5499999999999998</v>
      </c>
    </row>
    <row r="673" spans="4:23" x14ac:dyDescent="0.15">
      <c r="D673" s="40" t="s">
        <v>1356</v>
      </c>
      <c r="E673" s="40" t="s">
        <v>1413</v>
      </c>
      <c r="F673" s="40" t="s">
        <v>1414</v>
      </c>
      <c r="G673" s="40">
        <v>3</v>
      </c>
      <c r="H673" s="41">
        <v>40513.497916666667</v>
      </c>
      <c r="I673" s="40">
        <v>0.85</v>
      </c>
      <c r="J673" s="40">
        <v>12838</v>
      </c>
      <c r="K673" s="40" t="s">
        <v>71</v>
      </c>
      <c r="L673" s="42">
        <v>2.5499999999999998</v>
      </c>
      <c r="M673" s="40" t="s">
        <v>721</v>
      </c>
      <c r="N673" s="40">
        <v>2010</v>
      </c>
      <c r="O673" s="40" t="s">
        <v>83</v>
      </c>
      <c r="P673" s="40" t="s">
        <v>126</v>
      </c>
      <c r="Q673" s="40" t="s">
        <v>624</v>
      </c>
      <c r="R673" s="40">
        <v>11</v>
      </c>
      <c r="S673" s="40" t="b">
        <v>0</v>
      </c>
      <c r="T673" s="40" t="b">
        <v>1</v>
      </c>
      <c r="U673" s="42">
        <f t="shared" si="10"/>
        <v>2.5499999999999998</v>
      </c>
      <c r="V673" s="42">
        <v>0</v>
      </c>
      <c r="W673" s="42">
        <v>2.5499999999999998</v>
      </c>
    </row>
    <row r="674" spans="4:23" x14ac:dyDescent="0.15">
      <c r="D674" s="43" t="s">
        <v>1356</v>
      </c>
      <c r="E674" s="43" t="s">
        <v>1415</v>
      </c>
      <c r="F674" s="43" t="s">
        <v>1416</v>
      </c>
      <c r="G674" s="43">
        <v>2</v>
      </c>
      <c r="H674" s="44">
        <v>40513.497916666667</v>
      </c>
      <c r="I674" s="43">
        <v>4.95</v>
      </c>
      <c r="J674" s="43">
        <v>12838</v>
      </c>
      <c r="K674" s="43" t="s">
        <v>71</v>
      </c>
      <c r="L674" s="45">
        <v>9.9</v>
      </c>
      <c r="M674" s="43" t="s">
        <v>721</v>
      </c>
      <c r="N674" s="43">
        <v>2010</v>
      </c>
      <c r="O674" s="43" t="s">
        <v>83</v>
      </c>
      <c r="P674" s="43" t="s">
        <v>126</v>
      </c>
      <c r="Q674" s="43" t="s">
        <v>624</v>
      </c>
      <c r="R674" s="43">
        <v>11</v>
      </c>
      <c r="S674" s="43" t="b">
        <v>0</v>
      </c>
      <c r="T674" s="43" t="b">
        <v>1</v>
      </c>
      <c r="U674" s="45">
        <f t="shared" si="10"/>
        <v>9.9</v>
      </c>
      <c r="V674" s="45">
        <v>0</v>
      </c>
      <c r="W674" s="45">
        <v>9.9</v>
      </c>
    </row>
    <row r="675" spans="4:23" x14ac:dyDescent="0.15">
      <c r="D675" s="40" t="s">
        <v>1356</v>
      </c>
      <c r="E675" s="40" t="s">
        <v>990</v>
      </c>
      <c r="F675" s="40" t="s">
        <v>991</v>
      </c>
      <c r="G675" s="40">
        <v>3</v>
      </c>
      <c r="H675" s="41">
        <v>40513.497916666667</v>
      </c>
      <c r="I675" s="40">
        <v>1.65</v>
      </c>
      <c r="J675" s="40">
        <v>12838</v>
      </c>
      <c r="K675" s="40" t="s">
        <v>71</v>
      </c>
      <c r="L675" s="42">
        <v>4.9499999999999993</v>
      </c>
      <c r="M675" s="40" t="s">
        <v>721</v>
      </c>
      <c r="N675" s="40">
        <v>2010</v>
      </c>
      <c r="O675" s="40" t="s">
        <v>83</v>
      </c>
      <c r="P675" s="40" t="s">
        <v>126</v>
      </c>
      <c r="Q675" s="40" t="s">
        <v>624</v>
      </c>
      <c r="R675" s="40">
        <v>11</v>
      </c>
      <c r="S675" s="40" t="b">
        <v>0</v>
      </c>
      <c r="T675" s="40" t="b">
        <v>1</v>
      </c>
      <c r="U675" s="42">
        <f t="shared" si="10"/>
        <v>4.9499999999999993</v>
      </c>
      <c r="V675" s="42">
        <v>0</v>
      </c>
      <c r="W675" s="42">
        <v>4.9499999999999993</v>
      </c>
    </row>
    <row r="676" spans="4:23" x14ac:dyDescent="0.15">
      <c r="D676" s="43" t="s">
        <v>1356</v>
      </c>
      <c r="E676" s="43" t="s">
        <v>455</v>
      </c>
      <c r="F676" s="43" t="s">
        <v>456</v>
      </c>
      <c r="G676" s="43">
        <v>3</v>
      </c>
      <c r="H676" s="44">
        <v>40513.497916666667</v>
      </c>
      <c r="I676" s="43">
        <v>1.65</v>
      </c>
      <c r="J676" s="43">
        <v>12838</v>
      </c>
      <c r="K676" s="43" t="s">
        <v>71</v>
      </c>
      <c r="L676" s="45">
        <v>4.9499999999999993</v>
      </c>
      <c r="M676" s="43" t="s">
        <v>721</v>
      </c>
      <c r="N676" s="43">
        <v>2010</v>
      </c>
      <c r="O676" s="43" t="s">
        <v>83</v>
      </c>
      <c r="P676" s="43" t="s">
        <v>126</v>
      </c>
      <c r="Q676" s="43" t="s">
        <v>624</v>
      </c>
      <c r="R676" s="43">
        <v>11</v>
      </c>
      <c r="S676" s="43" t="b">
        <v>0</v>
      </c>
      <c r="T676" s="43" t="b">
        <v>1</v>
      </c>
      <c r="U676" s="45">
        <f t="shared" si="10"/>
        <v>4.9499999999999993</v>
      </c>
      <c r="V676" s="45">
        <v>0</v>
      </c>
      <c r="W676" s="45">
        <v>4.9499999999999993</v>
      </c>
    </row>
    <row r="677" spans="4:23" x14ac:dyDescent="0.15">
      <c r="D677" s="40" t="s">
        <v>1356</v>
      </c>
      <c r="E677" s="40" t="s">
        <v>465</v>
      </c>
      <c r="F677" s="40" t="s">
        <v>466</v>
      </c>
      <c r="G677" s="40">
        <v>3</v>
      </c>
      <c r="H677" s="41">
        <v>40513.497916666667</v>
      </c>
      <c r="I677" s="40">
        <v>1.65</v>
      </c>
      <c r="J677" s="40">
        <v>12838</v>
      </c>
      <c r="K677" s="40" t="s">
        <v>71</v>
      </c>
      <c r="L677" s="42">
        <v>4.9499999999999993</v>
      </c>
      <c r="M677" s="40" t="s">
        <v>721</v>
      </c>
      <c r="N677" s="40">
        <v>2010</v>
      </c>
      <c r="O677" s="40" t="s">
        <v>83</v>
      </c>
      <c r="P677" s="40" t="s">
        <v>126</v>
      </c>
      <c r="Q677" s="40" t="s">
        <v>624</v>
      </c>
      <c r="R677" s="40">
        <v>11</v>
      </c>
      <c r="S677" s="40" t="b">
        <v>0</v>
      </c>
      <c r="T677" s="40" t="b">
        <v>1</v>
      </c>
      <c r="U677" s="42">
        <f t="shared" si="10"/>
        <v>4.9499999999999993</v>
      </c>
      <c r="V677" s="42">
        <v>0</v>
      </c>
      <c r="W677" s="42">
        <v>4.9499999999999993</v>
      </c>
    </row>
    <row r="678" spans="4:23" x14ac:dyDescent="0.15">
      <c r="D678" s="43" t="s">
        <v>1356</v>
      </c>
      <c r="E678" s="43" t="s">
        <v>1417</v>
      </c>
      <c r="F678" s="43" t="s">
        <v>1418</v>
      </c>
      <c r="G678" s="43">
        <v>3</v>
      </c>
      <c r="H678" s="44">
        <v>40513.497916666667</v>
      </c>
      <c r="I678" s="43">
        <v>0.42</v>
      </c>
      <c r="J678" s="43">
        <v>12838</v>
      </c>
      <c r="K678" s="43" t="s">
        <v>71</v>
      </c>
      <c r="L678" s="45">
        <v>1.26</v>
      </c>
      <c r="M678" s="43" t="s">
        <v>721</v>
      </c>
      <c r="N678" s="43">
        <v>2010</v>
      </c>
      <c r="O678" s="43" t="s">
        <v>83</v>
      </c>
      <c r="P678" s="43" t="s">
        <v>126</v>
      </c>
      <c r="Q678" s="43" t="s">
        <v>624</v>
      </c>
      <c r="R678" s="43">
        <v>11</v>
      </c>
      <c r="S678" s="43" t="b">
        <v>0</v>
      </c>
      <c r="T678" s="43" t="b">
        <v>1</v>
      </c>
      <c r="U678" s="45">
        <f t="shared" si="10"/>
        <v>1.26</v>
      </c>
      <c r="V678" s="45">
        <v>0</v>
      </c>
      <c r="W678" s="45">
        <v>1.26</v>
      </c>
    </row>
    <row r="679" spans="4:23" x14ac:dyDescent="0.15">
      <c r="D679" s="40" t="s">
        <v>1356</v>
      </c>
      <c r="E679" s="40" t="s">
        <v>1264</v>
      </c>
      <c r="F679" s="40" t="s">
        <v>1265</v>
      </c>
      <c r="G679" s="40">
        <v>3</v>
      </c>
      <c r="H679" s="41">
        <v>40513.497916666667</v>
      </c>
      <c r="I679" s="40">
        <v>0.42</v>
      </c>
      <c r="J679" s="40">
        <v>12838</v>
      </c>
      <c r="K679" s="40" t="s">
        <v>71</v>
      </c>
      <c r="L679" s="42">
        <v>1.26</v>
      </c>
      <c r="M679" s="40" t="s">
        <v>721</v>
      </c>
      <c r="N679" s="40">
        <v>2010</v>
      </c>
      <c r="O679" s="40" t="s">
        <v>83</v>
      </c>
      <c r="P679" s="40" t="s">
        <v>126</v>
      </c>
      <c r="Q679" s="40" t="s">
        <v>624</v>
      </c>
      <c r="R679" s="40">
        <v>11</v>
      </c>
      <c r="S679" s="40" t="b">
        <v>0</v>
      </c>
      <c r="T679" s="40" t="b">
        <v>1</v>
      </c>
      <c r="U679" s="42">
        <f t="shared" si="10"/>
        <v>1.26</v>
      </c>
      <c r="V679" s="42">
        <v>0</v>
      </c>
      <c r="W679" s="42">
        <v>1.26</v>
      </c>
    </row>
    <row r="680" spans="4:23" x14ac:dyDescent="0.15">
      <c r="D680" s="43" t="s">
        <v>1356</v>
      </c>
      <c r="E680" s="43" t="s">
        <v>1419</v>
      </c>
      <c r="F680" s="43" t="s">
        <v>1420</v>
      </c>
      <c r="G680" s="43">
        <v>3</v>
      </c>
      <c r="H680" s="44">
        <v>40513.497916666667</v>
      </c>
      <c r="I680" s="43">
        <v>0.42</v>
      </c>
      <c r="J680" s="43">
        <v>12838</v>
      </c>
      <c r="K680" s="43" t="s">
        <v>71</v>
      </c>
      <c r="L680" s="45">
        <v>1.26</v>
      </c>
      <c r="M680" s="43" t="s">
        <v>721</v>
      </c>
      <c r="N680" s="43">
        <v>2010</v>
      </c>
      <c r="O680" s="43" t="s">
        <v>83</v>
      </c>
      <c r="P680" s="43" t="s">
        <v>126</v>
      </c>
      <c r="Q680" s="43" t="s">
        <v>624</v>
      </c>
      <c r="R680" s="43">
        <v>11</v>
      </c>
      <c r="S680" s="43" t="b">
        <v>0</v>
      </c>
      <c r="T680" s="43" t="b">
        <v>1</v>
      </c>
      <c r="U680" s="45">
        <f t="shared" si="10"/>
        <v>1.26</v>
      </c>
      <c r="V680" s="45">
        <v>0</v>
      </c>
      <c r="W680" s="45">
        <v>1.26</v>
      </c>
    </row>
    <row r="681" spans="4:23" x14ac:dyDescent="0.15">
      <c r="D681" s="40" t="s">
        <v>1356</v>
      </c>
      <c r="E681" s="40" t="s">
        <v>1421</v>
      </c>
      <c r="F681" s="40" t="s">
        <v>1422</v>
      </c>
      <c r="G681" s="40">
        <v>3</v>
      </c>
      <c r="H681" s="41">
        <v>40513.497916666667</v>
      </c>
      <c r="I681" s="40">
        <v>0.42</v>
      </c>
      <c r="J681" s="40">
        <v>12838</v>
      </c>
      <c r="K681" s="40" t="s">
        <v>71</v>
      </c>
      <c r="L681" s="42">
        <v>1.26</v>
      </c>
      <c r="M681" s="40" t="s">
        <v>721</v>
      </c>
      <c r="N681" s="40">
        <v>2010</v>
      </c>
      <c r="O681" s="40" t="s">
        <v>83</v>
      </c>
      <c r="P681" s="40" t="s">
        <v>126</v>
      </c>
      <c r="Q681" s="40" t="s">
        <v>624</v>
      </c>
      <c r="R681" s="40">
        <v>11</v>
      </c>
      <c r="S681" s="40" t="b">
        <v>0</v>
      </c>
      <c r="T681" s="40" t="b">
        <v>1</v>
      </c>
      <c r="U681" s="42">
        <f t="shared" si="10"/>
        <v>1.26</v>
      </c>
      <c r="V681" s="42">
        <v>0</v>
      </c>
      <c r="W681" s="42">
        <v>1.26</v>
      </c>
    </row>
    <row r="682" spans="4:23" x14ac:dyDescent="0.15">
      <c r="D682" s="43" t="s">
        <v>1356</v>
      </c>
      <c r="E682" s="43" t="s">
        <v>1423</v>
      </c>
      <c r="F682" s="43" t="s">
        <v>1424</v>
      </c>
      <c r="G682" s="43">
        <v>3</v>
      </c>
      <c r="H682" s="44">
        <v>40513.497916666667</v>
      </c>
      <c r="I682" s="43">
        <v>2.95</v>
      </c>
      <c r="J682" s="43">
        <v>12838</v>
      </c>
      <c r="K682" s="43" t="s">
        <v>71</v>
      </c>
      <c r="L682" s="45">
        <v>8.8500000000000014</v>
      </c>
      <c r="M682" s="43" t="s">
        <v>721</v>
      </c>
      <c r="N682" s="43">
        <v>2010</v>
      </c>
      <c r="O682" s="43" t="s">
        <v>83</v>
      </c>
      <c r="P682" s="43" t="s">
        <v>126</v>
      </c>
      <c r="Q682" s="43" t="s">
        <v>624</v>
      </c>
      <c r="R682" s="43">
        <v>11</v>
      </c>
      <c r="S682" s="43" t="b">
        <v>0</v>
      </c>
      <c r="T682" s="43" t="b">
        <v>1</v>
      </c>
      <c r="U682" s="45">
        <f t="shared" si="10"/>
        <v>8.8500000000000014</v>
      </c>
      <c r="V682" s="45">
        <v>0</v>
      </c>
      <c r="W682" s="45">
        <v>8.8500000000000014</v>
      </c>
    </row>
    <row r="683" spans="4:23" x14ac:dyDescent="0.15">
      <c r="D683" s="40" t="s">
        <v>1356</v>
      </c>
      <c r="E683" s="40" t="s">
        <v>1140</v>
      </c>
      <c r="F683" s="40" t="s">
        <v>1141</v>
      </c>
      <c r="G683" s="40">
        <v>3</v>
      </c>
      <c r="H683" s="41">
        <v>40513.497916666667</v>
      </c>
      <c r="I683" s="40">
        <v>4.6500000000000004</v>
      </c>
      <c r="J683" s="40">
        <v>12838</v>
      </c>
      <c r="K683" s="40" t="s">
        <v>71</v>
      </c>
      <c r="L683" s="42">
        <v>13.95</v>
      </c>
      <c r="M683" s="40" t="s">
        <v>721</v>
      </c>
      <c r="N683" s="40">
        <v>2010</v>
      </c>
      <c r="O683" s="40" t="s">
        <v>83</v>
      </c>
      <c r="P683" s="40" t="s">
        <v>126</v>
      </c>
      <c r="Q683" s="40" t="s">
        <v>624</v>
      </c>
      <c r="R683" s="40">
        <v>11</v>
      </c>
      <c r="S683" s="40" t="b">
        <v>0</v>
      </c>
      <c r="T683" s="40" t="b">
        <v>1</v>
      </c>
      <c r="U683" s="42">
        <f t="shared" si="10"/>
        <v>13.95</v>
      </c>
      <c r="V683" s="42">
        <v>0</v>
      </c>
      <c r="W683" s="42">
        <v>13.95</v>
      </c>
    </row>
    <row r="684" spans="4:23" x14ac:dyDescent="0.15">
      <c r="D684" s="43" t="s">
        <v>1356</v>
      </c>
      <c r="E684" s="43" t="s">
        <v>1425</v>
      </c>
      <c r="F684" s="43" t="s">
        <v>1426</v>
      </c>
      <c r="G684" s="43">
        <v>2</v>
      </c>
      <c r="H684" s="44">
        <v>40513.497916666667</v>
      </c>
      <c r="I684" s="43">
        <v>1.25</v>
      </c>
      <c r="J684" s="43">
        <v>12838</v>
      </c>
      <c r="K684" s="43" t="s">
        <v>71</v>
      </c>
      <c r="L684" s="45">
        <v>2.5</v>
      </c>
      <c r="M684" s="43" t="s">
        <v>721</v>
      </c>
      <c r="N684" s="43">
        <v>2010</v>
      </c>
      <c r="O684" s="43" t="s">
        <v>83</v>
      </c>
      <c r="P684" s="43" t="s">
        <v>126</v>
      </c>
      <c r="Q684" s="43" t="s">
        <v>624</v>
      </c>
      <c r="R684" s="43">
        <v>11</v>
      </c>
      <c r="S684" s="43" t="b">
        <v>0</v>
      </c>
      <c r="T684" s="43" t="b">
        <v>1</v>
      </c>
      <c r="U684" s="45">
        <f t="shared" si="10"/>
        <v>2.5</v>
      </c>
      <c r="V684" s="45">
        <v>0</v>
      </c>
      <c r="W684" s="45">
        <v>2.5</v>
      </c>
    </row>
    <row r="685" spans="4:23" x14ac:dyDescent="0.15">
      <c r="D685" s="40" t="s">
        <v>1356</v>
      </c>
      <c r="E685" s="40" t="s">
        <v>738</v>
      </c>
      <c r="F685" s="40" t="s">
        <v>739</v>
      </c>
      <c r="G685" s="40">
        <v>2</v>
      </c>
      <c r="H685" s="41">
        <v>40513.497916666667</v>
      </c>
      <c r="I685" s="40">
        <v>3.75</v>
      </c>
      <c r="J685" s="40">
        <v>12838</v>
      </c>
      <c r="K685" s="40" t="s">
        <v>71</v>
      </c>
      <c r="L685" s="42">
        <v>7.5</v>
      </c>
      <c r="M685" s="40" t="s">
        <v>721</v>
      </c>
      <c r="N685" s="40">
        <v>2010</v>
      </c>
      <c r="O685" s="40" t="s">
        <v>83</v>
      </c>
      <c r="P685" s="40" t="s">
        <v>126</v>
      </c>
      <c r="Q685" s="40" t="s">
        <v>624</v>
      </c>
      <c r="R685" s="40">
        <v>11</v>
      </c>
      <c r="S685" s="40" t="b">
        <v>0</v>
      </c>
      <c r="T685" s="40" t="b">
        <v>1</v>
      </c>
      <c r="U685" s="42">
        <f t="shared" si="10"/>
        <v>7.5</v>
      </c>
      <c r="V685" s="42">
        <v>0</v>
      </c>
      <c r="W685" s="42">
        <v>7.5</v>
      </c>
    </row>
    <row r="686" spans="4:23" x14ac:dyDescent="0.15">
      <c r="D686" s="43" t="s">
        <v>1356</v>
      </c>
      <c r="E686" s="43" t="s">
        <v>1427</v>
      </c>
      <c r="F686" s="43" t="s">
        <v>1428</v>
      </c>
      <c r="G686" s="43">
        <v>12</v>
      </c>
      <c r="H686" s="44">
        <v>40513.497916666667</v>
      </c>
      <c r="I686" s="43">
        <v>2.95</v>
      </c>
      <c r="J686" s="43">
        <v>12838</v>
      </c>
      <c r="K686" s="43" t="s">
        <v>71</v>
      </c>
      <c r="L686" s="45">
        <v>35.400000000000013</v>
      </c>
      <c r="M686" s="43" t="s">
        <v>721</v>
      </c>
      <c r="N686" s="43">
        <v>2010</v>
      </c>
      <c r="O686" s="43" t="s">
        <v>83</v>
      </c>
      <c r="P686" s="43" t="s">
        <v>126</v>
      </c>
      <c r="Q686" s="43" t="s">
        <v>624</v>
      </c>
      <c r="R686" s="43">
        <v>11</v>
      </c>
      <c r="S686" s="43" t="b">
        <v>0</v>
      </c>
      <c r="T686" s="43" t="b">
        <v>1</v>
      </c>
      <c r="U686" s="45">
        <f t="shared" si="10"/>
        <v>35.400000000000013</v>
      </c>
      <c r="V686" s="45">
        <v>0</v>
      </c>
      <c r="W686" s="45">
        <v>35.400000000000013</v>
      </c>
    </row>
    <row r="687" spans="4:23" x14ac:dyDescent="0.15">
      <c r="D687" s="40" t="s">
        <v>1429</v>
      </c>
      <c r="E687" s="40" t="s">
        <v>1430</v>
      </c>
      <c r="F687" s="40" t="s">
        <v>1431</v>
      </c>
      <c r="G687" s="40">
        <v>12</v>
      </c>
      <c r="H687" s="41">
        <v>40513.498611111107</v>
      </c>
      <c r="I687" s="40">
        <v>1.25</v>
      </c>
      <c r="J687" s="40">
        <v>13255</v>
      </c>
      <c r="K687" s="40" t="s">
        <v>71</v>
      </c>
      <c r="L687" s="42">
        <v>15</v>
      </c>
      <c r="M687" s="40" t="s">
        <v>721</v>
      </c>
      <c r="N687" s="40">
        <v>2010</v>
      </c>
      <c r="O687" s="40" t="s">
        <v>83</v>
      </c>
      <c r="P687" s="40" t="s">
        <v>126</v>
      </c>
      <c r="Q687" s="40" t="s">
        <v>624</v>
      </c>
      <c r="R687" s="40">
        <v>11</v>
      </c>
      <c r="S687" s="40" t="b">
        <v>0</v>
      </c>
      <c r="T687" s="40" t="b">
        <v>1</v>
      </c>
      <c r="U687" s="42">
        <f t="shared" si="10"/>
        <v>15</v>
      </c>
      <c r="V687" s="42">
        <v>0</v>
      </c>
      <c r="W687" s="42">
        <v>15</v>
      </c>
    </row>
    <row r="688" spans="4:23" x14ac:dyDescent="0.15">
      <c r="D688" s="43" t="s">
        <v>1429</v>
      </c>
      <c r="E688" s="43" t="s">
        <v>243</v>
      </c>
      <c r="F688" s="43" t="s">
        <v>244</v>
      </c>
      <c r="G688" s="43">
        <v>72</v>
      </c>
      <c r="H688" s="44">
        <v>40513.498611111107</v>
      </c>
      <c r="I688" s="43">
        <v>1.25</v>
      </c>
      <c r="J688" s="43">
        <v>13255</v>
      </c>
      <c r="K688" s="43" t="s">
        <v>71</v>
      </c>
      <c r="L688" s="45">
        <v>90</v>
      </c>
      <c r="M688" s="43" t="s">
        <v>721</v>
      </c>
      <c r="N688" s="43">
        <v>2010</v>
      </c>
      <c r="O688" s="43" t="s">
        <v>83</v>
      </c>
      <c r="P688" s="43" t="s">
        <v>126</v>
      </c>
      <c r="Q688" s="43" t="s">
        <v>624</v>
      </c>
      <c r="R688" s="43">
        <v>11</v>
      </c>
      <c r="S688" s="43" t="b">
        <v>0</v>
      </c>
      <c r="T688" s="43" t="b">
        <v>1</v>
      </c>
      <c r="U688" s="45">
        <f t="shared" si="10"/>
        <v>90</v>
      </c>
      <c r="V688" s="45">
        <v>0</v>
      </c>
      <c r="W688" s="45">
        <v>90</v>
      </c>
    </row>
    <row r="689" spans="4:23" x14ac:dyDescent="0.15">
      <c r="D689" s="40" t="s">
        <v>1429</v>
      </c>
      <c r="E689" s="40" t="s">
        <v>1432</v>
      </c>
      <c r="F689" s="40" t="s">
        <v>1433</v>
      </c>
      <c r="G689" s="40">
        <v>12</v>
      </c>
      <c r="H689" s="41">
        <v>40513.498611111107</v>
      </c>
      <c r="I689" s="40">
        <v>1.95</v>
      </c>
      <c r="J689" s="40">
        <v>13255</v>
      </c>
      <c r="K689" s="40" t="s">
        <v>71</v>
      </c>
      <c r="L689" s="42">
        <v>23.4</v>
      </c>
      <c r="M689" s="40" t="s">
        <v>721</v>
      </c>
      <c r="N689" s="40">
        <v>2010</v>
      </c>
      <c r="O689" s="40" t="s">
        <v>83</v>
      </c>
      <c r="P689" s="40" t="s">
        <v>126</v>
      </c>
      <c r="Q689" s="40" t="s">
        <v>624</v>
      </c>
      <c r="R689" s="40">
        <v>11</v>
      </c>
      <c r="S689" s="40" t="b">
        <v>0</v>
      </c>
      <c r="T689" s="40" t="b">
        <v>1</v>
      </c>
      <c r="U689" s="42">
        <f t="shared" si="10"/>
        <v>23.4</v>
      </c>
      <c r="V689" s="42">
        <v>0</v>
      </c>
      <c r="W689" s="42">
        <v>23.4</v>
      </c>
    </row>
    <row r="690" spans="4:23" x14ac:dyDescent="0.15">
      <c r="D690" s="43" t="s">
        <v>1429</v>
      </c>
      <c r="E690" s="43" t="s">
        <v>1073</v>
      </c>
      <c r="F690" s="43" t="s">
        <v>1074</v>
      </c>
      <c r="G690" s="43">
        <v>4</v>
      </c>
      <c r="H690" s="44">
        <v>40513.498611111107</v>
      </c>
      <c r="I690" s="43">
        <v>9.9499999999999993</v>
      </c>
      <c r="J690" s="43">
        <v>13255</v>
      </c>
      <c r="K690" s="43" t="s">
        <v>71</v>
      </c>
      <c r="L690" s="45">
        <v>39.799999999999997</v>
      </c>
      <c r="M690" s="43" t="s">
        <v>721</v>
      </c>
      <c r="N690" s="43">
        <v>2010</v>
      </c>
      <c r="O690" s="43" t="s">
        <v>83</v>
      </c>
      <c r="P690" s="43" t="s">
        <v>126</v>
      </c>
      <c r="Q690" s="43" t="s">
        <v>624</v>
      </c>
      <c r="R690" s="43">
        <v>11</v>
      </c>
      <c r="S690" s="43" t="b">
        <v>0</v>
      </c>
      <c r="T690" s="43" t="b">
        <v>1</v>
      </c>
      <c r="U690" s="45">
        <f t="shared" si="10"/>
        <v>39.799999999999997</v>
      </c>
      <c r="V690" s="45">
        <v>0</v>
      </c>
      <c r="W690" s="45">
        <v>39.799999999999997</v>
      </c>
    </row>
    <row r="691" spans="4:23" x14ac:dyDescent="0.15">
      <c r="D691" s="40" t="s">
        <v>1429</v>
      </c>
      <c r="E691" s="40" t="s">
        <v>1071</v>
      </c>
      <c r="F691" s="40" t="s">
        <v>1072</v>
      </c>
      <c r="G691" s="40">
        <v>4</v>
      </c>
      <c r="H691" s="41">
        <v>40513.498611111107</v>
      </c>
      <c r="I691" s="40">
        <v>9.9499999999999993</v>
      </c>
      <c r="J691" s="40">
        <v>13255</v>
      </c>
      <c r="K691" s="40" t="s">
        <v>71</v>
      </c>
      <c r="L691" s="42">
        <v>39.799999999999997</v>
      </c>
      <c r="M691" s="40" t="s">
        <v>721</v>
      </c>
      <c r="N691" s="40">
        <v>2010</v>
      </c>
      <c r="O691" s="40" t="s">
        <v>83</v>
      </c>
      <c r="P691" s="40" t="s">
        <v>126</v>
      </c>
      <c r="Q691" s="40" t="s">
        <v>624</v>
      </c>
      <c r="R691" s="40">
        <v>11</v>
      </c>
      <c r="S691" s="40" t="b">
        <v>0</v>
      </c>
      <c r="T691" s="40" t="b">
        <v>1</v>
      </c>
      <c r="U691" s="42">
        <f t="shared" si="10"/>
        <v>39.799999999999997</v>
      </c>
      <c r="V691" s="42">
        <v>0</v>
      </c>
      <c r="W691" s="42">
        <v>39.799999999999997</v>
      </c>
    </row>
    <row r="692" spans="4:23" x14ac:dyDescent="0.15">
      <c r="D692" s="43" t="s">
        <v>1429</v>
      </c>
      <c r="E692" s="43" t="s">
        <v>335</v>
      </c>
      <c r="F692" s="43" t="s">
        <v>336</v>
      </c>
      <c r="G692" s="43">
        <v>6</v>
      </c>
      <c r="H692" s="44">
        <v>40513.498611111107</v>
      </c>
      <c r="I692" s="43">
        <v>2.95</v>
      </c>
      <c r="J692" s="43">
        <v>13255</v>
      </c>
      <c r="K692" s="43" t="s">
        <v>71</v>
      </c>
      <c r="L692" s="45">
        <v>17.7</v>
      </c>
      <c r="M692" s="43" t="s">
        <v>721</v>
      </c>
      <c r="N692" s="43">
        <v>2010</v>
      </c>
      <c r="O692" s="43" t="s">
        <v>83</v>
      </c>
      <c r="P692" s="43" t="s">
        <v>126</v>
      </c>
      <c r="Q692" s="43" t="s">
        <v>624</v>
      </c>
      <c r="R692" s="43">
        <v>11</v>
      </c>
      <c r="S692" s="43" t="b">
        <v>0</v>
      </c>
      <c r="T692" s="43" t="b">
        <v>1</v>
      </c>
      <c r="U692" s="45">
        <f t="shared" si="10"/>
        <v>17.7</v>
      </c>
      <c r="V692" s="45">
        <v>0</v>
      </c>
      <c r="W692" s="45">
        <v>17.7</v>
      </c>
    </row>
    <row r="693" spans="4:23" x14ac:dyDescent="0.15">
      <c r="D693" s="40" t="s">
        <v>1434</v>
      </c>
      <c r="E693" s="40" t="s">
        <v>1001</v>
      </c>
      <c r="F693" s="40" t="s">
        <v>1002</v>
      </c>
      <c r="G693" s="40">
        <v>12</v>
      </c>
      <c r="H693" s="41">
        <v>40513.502083333333</v>
      </c>
      <c r="I693" s="40">
        <v>1.25</v>
      </c>
      <c r="J693" s="40">
        <v>16583</v>
      </c>
      <c r="K693" s="40" t="s">
        <v>71</v>
      </c>
      <c r="L693" s="42">
        <v>15</v>
      </c>
      <c r="M693" s="40" t="s">
        <v>721</v>
      </c>
      <c r="N693" s="40">
        <v>2010</v>
      </c>
      <c r="O693" s="40" t="s">
        <v>83</v>
      </c>
      <c r="P693" s="40" t="s">
        <v>126</v>
      </c>
      <c r="Q693" s="40" t="s">
        <v>624</v>
      </c>
      <c r="R693" s="40">
        <v>12</v>
      </c>
      <c r="S693" s="40" t="b">
        <v>0</v>
      </c>
      <c r="T693" s="40" t="b">
        <v>1</v>
      </c>
      <c r="U693" s="42">
        <f t="shared" si="10"/>
        <v>15</v>
      </c>
      <c r="V693" s="42">
        <v>0</v>
      </c>
      <c r="W693" s="42">
        <v>15</v>
      </c>
    </row>
    <row r="694" spans="4:23" x14ac:dyDescent="0.15">
      <c r="D694" s="43" t="s">
        <v>1434</v>
      </c>
      <c r="E694" s="43" t="s">
        <v>1435</v>
      </c>
      <c r="F694" s="43" t="s">
        <v>1436</v>
      </c>
      <c r="G694" s="43">
        <v>12</v>
      </c>
      <c r="H694" s="44">
        <v>40513.502083333333</v>
      </c>
      <c r="I694" s="43">
        <v>1.25</v>
      </c>
      <c r="J694" s="43">
        <v>16583</v>
      </c>
      <c r="K694" s="43" t="s">
        <v>71</v>
      </c>
      <c r="L694" s="45">
        <v>15</v>
      </c>
      <c r="M694" s="43" t="s">
        <v>721</v>
      </c>
      <c r="N694" s="43">
        <v>2010</v>
      </c>
      <c r="O694" s="43" t="s">
        <v>83</v>
      </c>
      <c r="P694" s="43" t="s">
        <v>126</v>
      </c>
      <c r="Q694" s="43" t="s">
        <v>624</v>
      </c>
      <c r="R694" s="43">
        <v>12</v>
      </c>
      <c r="S694" s="43" t="b">
        <v>0</v>
      </c>
      <c r="T694" s="43" t="b">
        <v>1</v>
      </c>
      <c r="U694" s="45">
        <f t="shared" si="10"/>
        <v>15</v>
      </c>
      <c r="V694" s="45">
        <v>0</v>
      </c>
      <c r="W694" s="45">
        <v>15</v>
      </c>
    </row>
    <row r="695" spans="4:23" x14ac:dyDescent="0.15">
      <c r="D695" s="40" t="s">
        <v>1434</v>
      </c>
      <c r="E695" s="40" t="s">
        <v>999</v>
      </c>
      <c r="F695" s="40" t="s">
        <v>1000</v>
      </c>
      <c r="G695" s="40">
        <v>12</v>
      </c>
      <c r="H695" s="41">
        <v>40513.502083333333</v>
      </c>
      <c r="I695" s="40">
        <v>1.25</v>
      </c>
      <c r="J695" s="40">
        <v>16583</v>
      </c>
      <c r="K695" s="40" t="s">
        <v>71</v>
      </c>
      <c r="L695" s="42">
        <v>15</v>
      </c>
      <c r="M695" s="40" t="s">
        <v>721</v>
      </c>
      <c r="N695" s="40">
        <v>2010</v>
      </c>
      <c r="O695" s="40" t="s">
        <v>83</v>
      </c>
      <c r="P695" s="40" t="s">
        <v>126</v>
      </c>
      <c r="Q695" s="40" t="s">
        <v>624</v>
      </c>
      <c r="R695" s="40">
        <v>12</v>
      </c>
      <c r="S695" s="40" t="b">
        <v>0</v>
      </c>
      <c r="T695" s="40" t="b">
        <v>1</v>
      </c>
      <c r="U695" s="42">
        <f t="shared" si="10"/>
        <v>15</v>
      </c>
      <c r="V695" s="42">
        <v>0</v>
      </c>
      <c r="W695" s="42">
        <v>15</v>
      </c>
    </row>
    <row r="696" spans="4:23" x14ac:dyDescent="0.15">
      <c r="D696" s="43" t="s">
        <v>1434</v>
      </c>
      <c r="E696" s="43" t="s">
        <v>1437</v>
      </c>
      <c r="F696" s="43" t="s">
        <v>1438</v>
      </c>
      <c r="G696" s="43">
        <v>6</v>
      </c>
      <c r="H696" s="44">
        <v>40513.502083333333</v>
      </c>
      <c r="I696" s="43">
        <v>2.95</v>
      </c>
      <c r="J696" s="43">
        <v>16583</v>
      </c>
      <c r="K696" s="43" t="s">
        <v>71</v>
      </c>
      <c r="L696" s="45">
        <v>17.7</v>
      </c>
      <c r="M696" s="43" t="s">
        <v>721</v>
      </c>
      <c r="N696" s="43">
        <v>2010</v>
      </c>
      <c r="O696" s="43" t="s">
        <v>83</v>
      </c>
      <c r="P696" s="43" t="s">
        <v>126</v>
      </c>
      <c r="Q696" s="43" t="s">
        <v>624</v>
      </c>
      <c r="R696" s="43">
        <v>12</v>
      </c>
      <c r="S696" s="43" t="b">
        <v>0</v>
      </c>
      <c r="T696" s="43" t="b">
        <v>1</v>
      </c>
      <c r="U696" s="45">
        <f t="shared" si="10"/>
        <v>17.7</v>
      </c>
      <c r="V696" s="45">
        <v>0</v>
      </c>
      <c r="W696" s="45">
        <v>17.7</v>
      </c>
    </row>
    <row r="697" spans="4:23" x14ac:dyDescent="0.15">
      <c r="D697" s="40" t="s">
        <v>1434</v>
      </c>
      <c r="E697" s="40" t="s">
        <v>1439</v>
      </c>
      <c r="F697" s="40" t="s">
        <v>1440</v>
      </c>
      <c r="G697" s="40">
        <v>12</v>
      </c>
      <c r="H697" s="41">
        <v>40513.502083333333</v>
      </c>
      <c r="I697" s="40">
        <v>1.25</v>
      </c>
      <c r="J697" s="40">
        <v>16583</v>
      </c>
      <c r="K697" s="40" t="s">
        <v>71</v>
      </c>
      <c r="L697" s="42">
        <v>15</v>
      </c>
      <c r="M697" s="40" t="s">
        <v>721</v>
      </c>
      <c r="N697" s="40">
        <v>2010</v>
      </c>
      <c r="O697" s="40" t="s">
        <v>83</v>
      </c>
      <c r="P697" s="40" t="s">
        <v>126</v>
      </c>
      <c r="Q697" s="40" t="s">
        <v>624</v>
      </c>
      <c r="R697" s="40">
        <v>12</v>
      </c>
      <c r="S697" s="40" t="b">
        <v>0</v>
      </c>
      <c r="T697" s="40" t="b">
        <v>1</v>
      </c>
      <c r="U697" s="42">
        <f t="shared" si="10"/>
        <v>15</v>
      </c>
      <c r="V697" s="42">
        <v>0</v>
      </c>
      <c r="W697" s="42">
        <v>15</v>
      </c>
    </row>
    <row r="698" spans="4:23" x14ac:dyDescent="0.15">
      <c r="D698" s="43" t="s">
        <v>1434</v>
      </c>
      <c r="E698" s="43" t="s">
        <v>1441</v>
      </c>
      <c r="F698" s="43" t="s">
        <v>1442</v>
      </c>
      <c r="G698" s="43">
        <v>8</v>
      </c>
      <c r="H698" s="44">
        <v>40513.502083333333</v>
      </c>
      <c r="I698" s="43">
        <v>2.5499999999999998</v>
      </c>
      <c r="J698" s="43">
        <v>16583</v>
      </c>
      <c r="K698" s="43" t="s">
        <v>71</v>
      </c>
      <c r="L698" s="45">
        <v>20.399999999999999</v>
      </c>
      <c r="M698" s="43" t="s">
        <v>721</v>
      </c>
      <c r="N698" s="43">
        <v>2010</v>
      </c>
      <c r="O698" s="43" t="s">
        <v>83</v>
      </c>
      <c r="P698" s="43" t="s">
        <v>126</v>
      </c>
      <c r="Q698" s="43" t="s">
        <v>624</v>
      </c>
      <c r="R698" s="43">
        <v>12</v>
      </c>
      <c r="S698" s="43" t="b">
        <v>0</v>
      </c>
      <c r="T698" s="43" t="b">
        <v>1</v>
      </c>
      <c r="U698" s="45">
        <f t="shared" si="10"/>
        <v>20.399999999999999</v>
      </c>
      <c r="V698" s="45">
        <v>0</v>
      </c>
      <c r="W698" s="45">
        <v>20.399999999999999</v>
      </c>
    </row>
    <row r="699" spans="4:23" x14ac:dyDescent="0.15">
      <c r="D699" s="40" t="s">
        <v>1434</v>
      </c>
      <c r="E699" s="40" t="s">
        <v>1443</v>
      </c>
      <c r="F699" s="40" t="s">
        <v>1444</v>
      </c>
      <c r="G699" s="40">
        <v>8</v>
      </c>
      <c r="H699" s="41">
        <v>40513.502083333333</v>
      </c>
      <c r="I699" s="40">
        <v>2.5499999999999998</v>
      </c>
      <c r="J699" s="40">
        <v>16583</v>
      </c>
      <c r="K699" s="40" t="s">
        <v>71</v>
      </c>
      <c r="L699" s="42">
        <v>20.399999999999999</v>
      </c>
      <c r="M699" s="40" t="s">
        <v>721</v>
      </c>
      <c r="N699" s="40">
        <v>2010</v>
      </c>
      <c r="O699" s="40" t="s">
        <v>83</v>
      </c>
      <c r="P699" s="40" t="s">
        <v>126</v>
      </c>
      <c r="Q699" s="40" t="s">
        <v>624</v>
      </c>
      <c r="R699" s="40">
        <v>12</v>
      </c>
      <c r="S699" s="40" t="b">
        <v>0</v>
      </c>
      <c r="T699" s="40" t="b">
        <v>1</v>
      </c>
      <c r="U699" s="42">
        <f t="shared" si="10"/>
        <v>20.399999999999999</v>
      </c>
      <c r="V699" s="42">
        <v>0</v>
      </c>
      <c r="W699" s="42">
        <v>20.399999999999999</v>
      </c>
    </row>
    <row r="700" spans="4:23" x14ac:dyDescent="0.15">
      <c r="D700" s="43" t="s">
        <v>1434</v>
      </c>
      <c r="E700" s="43" t="s">
        <v>471</v>
      </c>
      <c r="F700" s="43" t="s">
        <v>472</v>
      </c>
      <c r="G700" s="43">
        <v>4</v>
      </c>
      <c r="H700" s="44">
        <v>40513.502083333333</v>
      </c>
      <c r="I700" s="43">
        <v>3.75</v>
      </c>
      <c r="J700" s="43">
        <v>16583</v>
      </c>
      <c r="K700" s="43" t="s">
        <v>71</v>
      </c>
      <c r="L700" s="45">
        <v>15</v>
      </c>
      <c r="M700" s="43" t="s">
        <v>721</v>
      </c>
      <c r="N700" s="43">
        <v>2010</v>
      </c>
      <c r="O700" s="43" t="s">
        <v>83</v>
      </c>
      <c r="P700" s="43" t="s">
        <v>126</v>
      </c>
      <c r="Q700" s="43" t="s">
        <v>624</v>
      </c>
      <c r="R700" s="43">
        <v>12</v>
      </c>
      <c r="S700" s="43" t="b">
        <v>0</v>
      </c>
      <c r="T700" s="43" t="b">
        <v>1</v>
      </c>
      <c r="U700" s="45">
        <f t="shared" si="10"/>
        <v>15</v>
      </c>
      <c r="V700" s="45">
        <v>0</v>
      </c>
      <c r="W700" s="45">
        <v>15</v>
      </c>
    </row>
    <row r="701" spans="4:23" x14ac:dyDescent="0.15">
      <c r="D701" s="40" t="s">
        <v>1434</v>
      </c>
      <c r="E701" s="40" t="s">
        <v>263</v>
      </c>
      <c r="F701" s="40" t="s">
        <v>264</v>
      </c>
      <c r="G701" s="40">
        <v>3</v>
      </c>
      <c r="H701" s="41">
        <v>40513.502083333333</v>
      </c>
      <c r="I701" s="40">
        <v>4.95</v>
      </c>
      <c r="J701" s="40">
        <v>16583</v>
      </c>
      <c r="K701" s="40" t="s">
        <v>71</v>
      </c>
      <c r="L701" s="42">
        <v>14.85</v>
      </c>
      <c r="M701" s="40" t="s">
        <v>721</v>
      </c>
      <c r="N701" s="40">
        <v>2010</v>
      </c>
      <c r="O701" s="40" t="s">
        <v>83</v>
      </c>
      <c r="P701" s="40" t="s">
        <v>126</v>
      </c>
      <c r="Q701" s="40" t="s">
        <v>624</v>
      </c>
      <c r="R701" s="40">
        <v>12</v>
      </c>
      <c r="S701" s="40" t="b">
        <v>0</v>
      </c>
      <c r="T701" s="40" t="b">
        <v>1</v>
      </c>
      <c r="U701" s="42">
        <f t="shared" si="10"/>
        <v>14.85</v>
      </c>
      <c r="V701" s="42">
        <v>0</v>
      </c>
      <c r="W701" s="42">
        <v>14.85</v>
      </c>
    </row>
    <row r="702" spans="4:23" x14ac:dyDescent="0.15">
      <c r="D702" s="43" t="s">
        <v>1434</v>
      </c>
      <c r="E702" s="43" t="s">
        <v>1045</v>
      </c>
      <c r="F702" s="43" t="s">
        <v>1046</v>
      </c>
      <c r="G702" s="43">
        <v>6</v>
      </c>
      <c r="H702" s="44">
        <v>40513.502083333333</v>
      </c>
      <c r="I702" s="43">
        <v>2.5499999999999998</v>
      </c>
      <c r="J702" s="43">
        <v>16583</v>
      </c>
      <c r="K702" s="43" t="s">
        <v>71</v>
      </c>
      <c r="L702" s="45">
        <v>15.3</v>
      </c>
      <c r="M702" s="43" t="s">
        <v>721</v>
      </c>
      <c r="N702" s="43">
        <v>2010</v>
      </c>
      <c r="O702" s="43" t="s">
        <v>83</v>
      </c>
      <c r="P702" s="43" t="s">
        <v>126</v>
      </c>
      <c r="Q702" s="43" t="s">
        <v>624</v>
      </c>
      <c r="R702" s="43">
        <v>12</v>
      </c>
      <c r="S702" s="43" t="b">
        <v>0</v>
      </c>
      <c r="T702" s="43" t="b">
        <v>1</v>
      </c>
      <c r="U702" s="45">
        <f t="shared" si="10"/>
        <v>15.3</v>
      </c>
      <c r="V702" s="45">
        <v>0</v>
      </c>
      <c r="W702" s="45">
        <v>15.3</v>
      </c>
    </row>
    <row r="703" spans="4:23" x14ac:dyDescent="0.15">
      <c r="D703" s="40" t="s">
        <v>1434</v>
      </c>
      <c r="E703" s="40" t="s">
        <v>1445</v>
      </c>
      <c r="F703" s="40" t="s">
        <v>1446</v>
      </c>
      <c r="G703" s="40">
        <v>6</v>
      </c>
      <c r="H703" s="41">
        <v>40513.502083333333</v>
      </c>
      <c r="I703" s="40">
        <v>2.95</v>
      </c>
      <c r="J703" s="40">
        <v>16583</v>
      </c>
      <c r="K703" s="40" t="s">
        <v>71</v>
      </c>
      <c r="L703" s="42">
        <v>17.7</v>
      </c>
      <c r="M703" s="40" t="s">
        <v>721</v>
      </c>
      <c r="N703" s="40">
        <v>2010</v>
      </c>
      <c r="O703" s="40" t="s">
        <v>83</v>
      </c>
      <c r="P703" s="40" t="s">
        <v>126</v>
      </c>
      <c r="Q703" s="40" t="s">
        <v>624</v>
      </c>
      <c r="R703" s="40">
        <v>12</v>
      </c>
      <c r="S703" s="40" t="b">
        <v>0</v>
      </c>
      <c r="T703" s="40" t="b">
        <v>1</v>
      </c>
      <c r="U703" s="42">
        <f t="shared" si="10"/>
        <v>17.7</v>
      </c>
      <c r="V703" s="42">
        <v>0</v>
      </c>
      <c r="W703" s="42">
        <v>17.7</v>
      </c>
    </row>
    <row r="704" spans="4:23" x14ac:dyDescent="0.15">
      <c r="D704" s="43" t="s">
        <v>1434</v>
      </c>
      <c r="E704" s="43" t="s">
        <v>1447</v>
      </c>
      <c r="F704" s="43" t="s">
        <v>1448</v>
      </c>
      <c r="G704" s="43">
        <v>4</v>
      </c>
      <c r="H704" s="44">
        <v>40513.502083333333</v>
      </c>
      <c r="I704" s="43">
        <v>4.25</v>
      </c>
      <c r="J704" s="43">
        <v>16583</v>
      </c>
      <c r="K704" s="43" t="s">
        <v>71</v>
      </c>
      <c r="L704" s="45">
        <v>17</v>
      </c>
      <c r="M704" s="43" t="s">
        <v>721</v>
      </c>
      <c r="N704" s="43">
        <v>2010</v>
      </c>
      <c r="O704" s="43" t="s">
        <v>83</v>
      </c>
      <c r="P704" s="43" t="s">
        <v>126</v>
      </c>
      <c r="Q704" s="43" t="s">
        <v>624</v>
      </c>
      <c r="R704" s="43">
        <v>12</v>
      </c>
      <c r="S704" s="43" t="b">
        <v>0</v>
      </c>
      <c r="T704" s="43" t="b">
        <v>1</v>
      </c>
      <c r="U704" s="45">
        <f t="shared" si="10"/>
        <v>17</v>
      </c>
      <c r="V704" s="45">
        <v>0</v>
      </c>
      <c r="W704" s="45">
        <v>17</v>
      </c>
    </row>
    <row r="705" spans="4:23" x14ac:dyDescent="0.15">
      <c r="D705" s="40" t="s">
        <v>1434</v>
      </c>
      <c r="E705" s="40" t="s">
        <v>1449</v>
      </c>
      <c r="F705" s="40" t="s">
        <v>1450</v>
      </c>
      <c r="G705" s="40">
        <v>6</v>
      </c>
      <c r="H705" s="41">
        <v>40513.502083333333</v>
      </c>
      <c r="I705" s="40">
        <v>2.95</v>
      </c>
      <c r="J705" s="40">
        <v>16583</v>
      </c>
      <c r="K705" s="40" t="s">
        <v>71</v>
      </c>
      <c r="L705" s="42">
        <v>17.7</v>
      </c>
      <c r="M705" s="40" t="s">
        <v>721</v>
      </c>
      <c r="N705" s="40">
        <v>2010</v>
      </c>
      <c r="O705" s="40" t="s">
        <v>83</v>
      </c>
      <c r="P705" s="40" t="s">
        <v>126</v>
      </c>
      <c r="Q705" s="40" t="s">
        <v>624</v>
      </c>
      <c r="R705" s="40">
        <v>12</v>
      </c>
      <c r="S705" s="40" t="b">
        <v>0</v>
      </c>
      <c r="T705" s="40" t="b">
        <v>1</v>
      </c>
      <c r="U705" s="42">
        <f t="shared" si="10"/>
        <v>17.7</v>
      </c>
      <c r="V705" s="42">
        <v>0</v>
      </c>
      <c r="W705" s="42">
        <v>17.7</v>
      </c>
    </row>
    <row r="706" spans="4:23" x14ac:dyDescent="0.15">
      <c r="D706" s="43" t="s">
        <v>1434</v>
      </c>
      <c r="E706" s="43" t="s">
        <v>345</v>
      </c>
      <c r="F706" s="43" t="s">
        <v>346</v>
      </c>
      <c r="G706" s="43">
        <v>12</v>
      </c>
      <c r="H706" s="44">
        <v>40513.502083333333</v>
      </c>
      <c r="I706" s="43">
        <v>1.45</v>
      </c>
      <c r="J706" s="43">
        <v>16583</v>
      </c>
      <c r="K706" s="43" t="s">
        <v>71</v>
      </c>
      <c r="L706" s="45">
        <v>17.399999999999999</v>
      </c>
      <c r="M706" s="43" t="s">
        <v>721</v>
      </c>
      <c r="N706" s="43">
        <v>2010</v>
      </c>
      <c r="O706" s="43" t="s">
        <v>83</v>
      </c>
      <c r="P706" s="43" t="s">
        <v>126</v>
      </c>
      <c r="Q706" s="43" t="s">
        <v>624</v>
      </c>
      <c r="R706" s="43">
        <v>12</v>
      </c>
      <c r="S706" s="43" t="b">
        <v>0</v>
      </c>
      <c r="T706" s="43" t="b">
        <v>1</v>
      </c>
      <c r="U706" s="45">
        <f t="shared" si="10"/>
        <v>17.399999999999999</v>
      </c>
      <c r="V706" s="45">
        <v>0</v>
      </c>
      <c r="W706" s="45">
        <v>17.399999999999999</v>
      </c>
    </row>
    <row r="707" spans="4:23" x14ac:dyDescent="0.15">
      <c r="D707" s="40" t="s">
        <v>1451</v>
      </c>
      <c r="E707" s="40" t="s">
        <v>997</v>
      </c>
      <c r="F707" s="40" t="s">
        <v>998</v>
      </c>
      <c r="G707" s="40">
        <v>4</v>
      </c>
      <c r="H707" s="41">
        <v>40513.505555555559</v>
      </c>
      <c r="I707" s="40">
        <v>3.75</v>
      </c>
      <c r="J707" s="40">
        <v>18085</v>
      </c>
      <c r="K707" s="40" t="s">
        <v>71</v>
      </c>
      <c r="L707" s="42">
        <v>15</v>
      </c>
      <c r="M707" s="40" t="s">
        <v>721</v>
      </c>
      <c r="N707" s="40">
        <v>2010</v>
      </c>
      <c r="O707" s="40" t="s">
        <v>83</v>
      </c>
      <c r="P707" s="40" t="s">
        <v>126</v>
      </c>
      <c r="Q707" s="40" t="s">
        <v>624</v>
      </c>
      <c r="R707" s="40">
        <v>12</v>
      </c>
      <c r="S707" s="40" t="b">
        <v>0</v>
      </c>
      <c r="T707" s="40" t="b">
        <v>1</v>
      </c>
      <c r="U707" s="42">
        <f t="shared" si="10"/>
        <v>15</v>
      </c>
      <c r="V707" s="42">
        <v>0</v>
      </c>
      <c r="W707" s="42">
        <v>15</v>
      </c>
    </row>
    <row r="708" spans="4:23" x14ac:dyDescent="0.15">
      <c r="D708" s="43" t="s">
        <v>1451</v>
      </c>
      <c r="E708" s="43" t="s">
        <v>532</v>
      </c>
      <c r="F708" s="43" t="s">
        <v>533</v>
      </c>
      <c r="G708" s="43">
        <v>6</v>
      </c>
      <c r="H708" s="44">
        <v>40513.505555555559</v>
      </c>
      <c r="I708" s="43">
        <v>2.95</v>
      </c>
      <c r="J708" s="43">
        <v>18085</v>
      </c>
      <c r="K708" s="43" t="s">
        <v>71</v>
      </c>
      <c r="L708" s="45">
        <v>17.7</v>
      </c>
      <c r="M708" s="43" t="s">
        <v>721</v>
      </c>
      <c r="N708" s="43">
        <v>2010</v>
      </c>
      <c r="O708" s="43" t="s">
        <v>83</v>
      </c>
      <c r="P708" s="43" t="s">
        <v>126</v>
      </c>
      <c r="Q708" s="43" t="s">
        <v>624</v>
      </c>
      <c r="R708" s="43">
        <v>12</v>
      </c>
      <c r="S708" s="43" t="b">
        <v>0</v>
      </c>
      <c r="T708" s="43" t="b">
        <v>1</v>
      </c>
      <c r="U708" s="45">
        <f t="shared" si="10"/>
        <v>17.7</v>
      </c>
      <c r="V708" s="45">
        <v>0</v>
      </c>
      <c r="W708" s="45">
        <v>17.7</v>
      </c>
    </row>
    <row r="709" spans="4:23" x14ac:dyDescent="0.15">
      <c r="D709" s="40" t="s">
        <v>1451</v>
      </c>
      <c r="E709" s="40" t="s">
        <v>731</v>
      </c>
      <c r="F709" s="40" t="s">
        <v>1017</v>
      </c>
      <c r="G709" s="40">
        <v>12</v>
      </c>
      <c r="H709" s="41">
        <v>40513.505555555559</v>
      </c>
      <c r="I709" s="40">
        <v>2.1</v>
      </c>
      <c r="J709" s="40">
        <v>18085</v>
      </c>
      <c r="K709" s="40" t="s">
        <v>71</v>
      </c>
      <c r="L709" s="42">
        <v>25.2</v>
      </c>
      <c r="M709" s="40" t="s">
        <v>721</v>
      </c>
      <c r="N709" s="40">
        <v>2010</v>
      </c>
      <c r="O709" s="40" t="s">
        <v>83</v>
      </c>
      <c r="P709" s="40" t="s">
        <v>126</v>
      </c>
      <c r="Q709" s="40" t="s">
        <v>624</v>
      </c>
      <c r="R709" s="40">
        <v>12</v>
      </c>
      <c r="S709" s="40" t="b">
        <v>0</v>
      </c>
      <c r="T709" s="40" t="b">
        <v>1</v>
      </c>
      <c r="U709" s="42">
        <f t="shared" ref="U709:U772" si="11">IF(T709,L709,0)</f>
        <v>25.2</v>
      </c>
      <c r="V709" s="42">
        <v>0</v>
      </c>
      <c r="W709" s="42">
        <v>25.2</v>
      </c>
    </row>
    <row r="710" spans="4:23" x14ac:dyDescent="0.15">
      <c r="D710" s="43" t="s">
        <v>1451</v>
      </c>
      <c r="E710" s="43" t="s">
        <v>1140</v>
      </c>
      <c r="F710" s="43" t="s">
        <v>1141</v>
      </c>
      <c r="G710" s="43">
        <v>8</v>
      </c>
      <c r="H710" s="44">
        <v>40513.505555555559</v>
      </c>
      <c r="I710" s="43">
        <v>4.6500000000000004</v>
      </c>
      <c r="J710" s="43">
        <v>18085</v>
      </c>
      <c r="K710" s="43" t="s">
        <v>71</v>
      </c>
      <c r="L710" s="45">
        <v>37.200000000000003</v>
      </c>
      <c r="M710" s="43" t="s">
        <v>721</v>
      </c>
      <c r="N710" s="43">
        <v>2010</v>
      </c>
      <c r="O710" s="43" t="s">
        <v>83</v>
      </c>
      <c r="P710" s="43" t="s">
        <v>126</v>
      </c>
      <c r="Q710" s="43" t="s">
        <v>624</v>
      </c>
      <c r="R710" s="43">
        <v>12</v>
      </c>
      <c r="S710" s="43" t="b">
        <v>0</v>
      </c>
      <c r="T710" s="43" t="b">
        <v>1</v>
      </c>
      <c r="U710" s="45">
        <f t="shared" si="11"/>
        <v>37.200000000000003</v>
      </c>
      <c r="V710" s="45">
        <v>0</v>
      </c>
      <c r="W710" s="45">
        <v>37.200000000000003</v>
      </c>
    </row>
    <row r="711" spans="4:23" x14ac:dyDescent="0.15">
      <c r="D711" s="40" t="s">
        <v>1451</v>
      </c>
      <c r="E711" s="40" t="s">
        <v>333</v>
      </c>
      <c r="F711" s="40" t="s">
        <v>334</v>
      </c>
      <c r="G711" s="40">
        <v>8</v>
      </c>
      <c r="H711" s="41">
        <v>40513.505555555559</v>
      </c>
      <c r="I711" s="40">
        <v>3.75</v>
      </c>
      <c r="J711" s="40">
        <v>18085</v>
      </c>
      <c r="K711" s="40" t="s">
        <v>71</v>
      </c>
      <c r="L711" s="42">
        <v>30</v>
      </c>
      <c r="M711" s="40" t="s">
        <v>721</v>
      </c>
      <c r="N711" s="40">
        <v>2010</v>
      </c>
      <c r="O711" s="40" t="s">
        <v>83</v>
      </c>
      <c r="P711" s="40" t="s">
        <v>126</v>
      </c>
      <c r="Q711" s="40" t="s">
        <v>624</v>
      </c>
      <c r="R711" s="40">
        <v>12</v>
      </c>
      <c r="S711" s="40" t="b">
        <v>0</v>
      </c>
      <c r="T711" s="40" t="b">
        <v>1</v>
      </c>
      <c r="U711" s="42">
        <f t="shared" si="11"/>
        <v>30</v>
      </c>
      <c r="V711" s="42">
        <v>0</v>
      </c>
      <c r="W711" s="42">
        <v>30</v>
      </c>
    </row>
    <row r="712" spans="4:23" x14ac:dyDescent="0.15">
      <c r="D712" s="43" t="s">
        <v>1451</v>
      </c>
      <c r="E712" s="43" t="s">
        <v>363</v>
      </c>
      <c r="F712" s="43" t="s">
        <v>364</v>
      </c>
      <c r="G712" s="43">
        <v>8</v>
      </c>
      <c r="H712" s="44">
        <v>40513.505555555559</v>
      </c>
      <c r="I712" s="43">
        <v>4.95</v>
      </c>
      <c r="J712" s="43">
        <v>18085</v>
      </c>
      <c r="K712" s="43" t="s">
        <v>71</v>
      </c>
      <c r="L712" s="45">
        <v>39.6</v>
      </c>
      <c r="M712" s="43" t="s">
        <v>721</v>
      </c>
      <c r="N712" s="43">
        <v>2010</v>
      </c>
      <c r="O712" s="43" t="s">
        <v>83</v>
      </c>
      <c r="P712" s="43" t="s">
        <v>126</v>
      </c>
      <c r="Q712" s="43" t="s">
        <v>624</v>
      </c>
      <c r="R712" s="43">
        <v>12</v>
      </c>
      <c r="S712" s="43" t="b">
        <v>0</v>
      </c>
      <c r="T712" s="43" t="b">
        <v>1</v>
      </c>
      <c r="U712" s="45">
        <f t="shared" si="11"/>
        <v>39.6</v>
      </c>
      <c r="V712" s="45">
        <v>0</v>
      </c>
      <c r="W712" s="45">
        <v>39.6</v>
      </c>
    </row>
    <row r="713" spans="4:23" x14ac:dyDescent="0.15">
      <c r="D713" s="40" t="s">
        <v>1451</v>
      </c>
      <c r="E713" s="40" t="s">
        <v>305</v>
      </c>
      <c r="F713" s="40" t="s">
        <v>306</v>
      </c>
      <c r="G713" s="40">
        <v>8</v>
      </c>
      <c r="H713" s="41">
        <v>40513.505555555559</v>
      </c>
      <c r="I713" s="40">
        <v>3.75</v>
      </c>
      <c r="J713" s="40">
        <v>18085</v>
      </c>
      <c r="K713" s="40" t="s">
        <v>71</v>
      </c>
      <c r="L713" s="42">
        <v>30</v>
      </c>
      <c r="M713" s="40" t="s">
        <v>721</v>
      </c>
      <c r="N713" s="40">
        <v>2010</v>
      </c>
      <c r="O713" s="40" t="s">
        <v>83</v>
      </c>
      <c r="P713" s="40" t="s">
        <v>126</v>
      </c>
      <c r="Q713" s="40" t="s">
        <v>624</v>
      </c>
      <c r="R713" s="40">
        <v>12</v>
      </c>
      <c r="S713" s="40" t="b">
        <v>0</v>
      </c>
      <c r="T713" s="40" t="b">
        <v>1</v>
      </c>
      <c r="U713" s="42">
        <f t="shared" si="11"/>
        <v>30</v>
      </c>
      <c r="V713" s="42">
        <v>0</v>
      </c>
      <c r="W713" s="42">
        <v>30</v>
      </c>
    </row>
    <row r="714" spans="4:23" x14ac:dyDescent="0.15">
      <c r="D714" s="43" t="s">
        <v>1451</v>
      </c>
      <c r="E714" s="43" t="s">
        <v>263</v>
      </c>
      <c r="F714" s="43" t="s">
        <v>264</v>
      </c>
      <c r="G714" s="43">
        <v>16</v>
      </c>
      <c r="H714" s="44">
        <v>40513.505555555559</v>
      </c>
      <c r="I714" s="43">
        <v>4.95</v>
      </c>
      <c r="J714" s="43">
        <v>18085</v>
      </c>
      <c r="K714" s="43" t="s">
        <v>71</v>
      </c>
      <c r="L714" s="45">
        <v>79.2</v>
      </c>
      <c r="M714" s="43" t="s">
        <v>721</v>
      </c>
      <c r="N714" s="43">
        <v>2010</v>
      </c>
      <c r="O714" s="43" t="s">
        <v>83</v>
      </c>
      <c r="P714" s="43" t="s">
        <v>126</v>
      </c>
      <c r="Q714" s="43" t="s">
        <v>624</v>
      </c>
      <c r="R714" s="43">
        <v>12</v>
      </c>
      <c r="S714" s="43" t="b">
        <v>0</v>
      </c>
      <c r="T714" s="43" t="b">
        <v>1</v>
      </c>
      <c r="U714" s="45">
        <f t="shared" si="11"/>
        <v>79.2</v>
      </c>
      <c r="V714" s="45">
        <v>0</v>
      </c>
      <c r="W714" s="45">
        <v>79.2</v>
      </c>
    </row>
    <row r="715" spans="4:23" x14ac:dyDescent="0.15">
      <c r="D715" s="40" t="s">
        <v>1451</v>
      </c>
      <c r="E715" s="40" t="s">
        <v>471</v>
      </c>
      <c r="F715" s="40" t="s">
        <v>472</v>
      </c>
      <c r="G715" s="40">
        <v>8</v>
      </c>
      <c r="H715" s="41">
        <v>40513.505555555559</v>
      </c>
      <c r="I715" s="40">
        <v>3.75</v>
      </c>
      <c r="J715" s="40">
        <v>18085</v>
      </c>
      <c r="K715" s="40" t="s">
        <v>71</v>
      </c>
      <c r="L715" s="42">
        <v>30</v>
      </c>
      <c r="M715" s="40" t="s">
        <v>721</v>
      </c>
      <c r="N715" s="40">
        <v>2010</v>
      </c>
      <c r="O715" s="40" t="s">
        <v>83</v>
      </c>
      <c r="P715" s="40" t="s">
        <v>126</v>
      </c>
      <c r="Q715" s="40" t="s">
        <v>624</v>
      </c>
      <c r="R715" s="40">
        <v>12</v>
      </c>
      <c r="S715" s="40" t="b">
        <v>0</v>
      </c>
      <c r="T715" s="40" t="b">
        <v>1</v>
      </c>
      <c r="U715" s="42">
        <f t="shared" si="11"/>
        <v>30</v>
      </c>
      <c r="V715" s="42">
        <v>0</v>
      </c>
      <c r="W715" s="42">
        <v>30</v>
      </c>
    </row>
    <row r="716" spans="4:23" x14ac:dyDescent="0.15">
      <c r="D716" s="43" t="s">
        <v>1452</v>
      </c>
      <c r="E716" s="43" t="s">
        <v>1140</v>
      </c>
      <c r="F716" s="43" t="s">
        <v>1141</v>
      </c>
      <c r="G716" s="43">
        <v>8</v>
      </c>
      <c r="H716" s="44">
        <v>40513.505555555559</v>
      </c>
      <c r="I716" s="43">
        <v>4.6500000000000004</v>
      </c>
      <c r="J716" s="43">
        <v>13758</v>
      </c>
      <c r="K716" s="43" t="s">
        <v>71</v>
      </c>
      <c r="L716" s="45">
        <v>37.200000000000003</v>
      </c>
      <c r="M716" s="43" t="s">
        <v>721</v>
      </c>
      <c r="N716" s="43">
        <v>2010</v>
      </c>
      <c r="O716" s="43" t="s">
        <v>83</v>
      </c>
      <c r="P716" s="43" t="s">
        <v>126</v>
      </c>
      <c r="Q716" s="43" t="s">
        <v>624</v>
      </c>
      <c r="R716" s="43">
        <v>12</v>
      </c>
      <c r="S716" s="43" t="b">
        <v>0</v>
      </c>
      <c r="T716" s="43" t="b">
        <v>1</v>
      </c>
      <c r="U716" s="45">
        <f t="shared" si="11"/>
        <v>37.200000000000003</v>
      </c>
      <c r="V716" s="45">
        <v>0</v>
      </c>
      <c r="W716" s="45">
        <v>37.200000000000003</v>
      </c>
    </row>
    <row r="717" spans="4:23" x14ac:dyDescent="0.15">
      <c r="D717" s="40" t="s">
        <v>1452</v>
      </c>
      <c r="E717" s="40" t="s">
        <v>1453</v>
      </c>
      <c r="F717" s="40" t="s">
        <v>1454</v>
      </c>
      <c r="G717" s="40">
        <v>12</v>
      </c>
      <c r="H717" s="41">
        <v>40513.505555555559</v>
      </c>
      <c r="I717" s="40">
        <v>1.25</v>
      </c>
      <c r="J717" s="40">
        <v>13758</v>
      </c>
      <c r="K717" s="40" t="s">
        <v>71</v>
      </c>
      <c r="L717" s="42">
        <v>15</v>
      </c>
      <c r="M717" s="40" t="s">
        <v>721</v>
      </c>
      <c r="N717" s="40">
        <v>2010</v>
      </c>
      <c r="O717" s="40" t="s">
        <v>83</v>
      </c>
      <c r="P717" s="40" t="s">
        <v>126</v>
      </c>
      <c r="Q717" s="40" t="s">
        <v>624</v>
      </c>
      <c r="R717" s="40">
        <v>12</v>
      </c>
      <c r="S717" s="40" t="b">
        <v>0</v>
      </c>
      <c r="T717" s="40" t="b">
        <v>1</v>
      </c>
      <c r="U717" s="42">
        <f t="shared" si="11"/>
        <v>15</v>
      </c>
      <c r="V717" s="42">
        <v>0</v>
      </c>
      <c r="W717" s="42">
        <v>15</v>
      </c>
    </row>
    <row r="718" spans="4:23" x14ac:dyDescent="0.15">
      <c r="D718" s="43" t="s">
        <v>1452</v>
      </c>
      <c r="E718" s="43" t="s">
        <v>179</v>
      </c>
      <c r="F718" s="43" t="s">
        <v>180</v>
      </c>
      <c r="G718" s="43">
        <v>8</v>
      </c>
      <c r="H718" s="44">
        <v>40513.505555555559</v>
      </c>
      <c r="I718" s="43">
        <v>4.95</v>
      </c>
      <c r="J718" s="43">
        <v>13758</v>
      </c>
      <c r="K718" s="43" t="s">
        <v>71</v>
      </c>
      <c r="L718" s="45">
        <v>39.6</v>
      </c>
      <c r="M718" s="43" t="s">
        <v>721</v>
      </c>
      <c r="N718" s="43">
        <v>2010</v>
      </c>
      <c r="O718" s="43" t="s">
        <v>83</v>
      </c>
      <c r="P718" s="43" t="s">
        <v>126</v>
      </c>
      <c r="Q718" s="43" t="s">
        <v>624</v>
      </c>
      <c r="R718" s="43">
        <v>12</v>
      </c>
      <c r="S718" s="43" t="b">
        <v>0</v>
      </c>
      <c r="T718" s="43" t="b">
        <v>1</v>
      </c>
      <c r="U718" s="45">
        <f t="shared" si="11"/>
        <v>39.6</v>
      </c>
      <c r="V718" s="45">
        <v>0</v>
      </c>
      <c r="W718" s="45">
        <v>39.6</v>
      </c>
    </row>
    <row r="719" spans="4:23" x14ac:dyDescent="0.15">
      <c r="D719" s="40" t="s">
        <v>1452</v>
      </c>
      <c r="E719" s="40" t="s">
        <v>837</v>
      </c>
      <c r="F719" s="40" t="s">
        <v>838</v>
      </c>
      <c r="G719" s="40">
        <v>12</v>
      </c>
      <c r="H719" s="41">
        <v>40513.505555555559</v>
      </c>
      <c r="I719" s="40">
        <v>2.5499999999999998</v>
      </c>
      <c r="J719" s="40">
        <v>13758</v>
      </c>
      <c r="K719" s="40" t="s">
        <v>71</v>
      </c>
      <c r="L719" s="42">
        <v>30.6</v>
      </c>
      <c r="M719" s="40" t="s">
        <v>721</v>
      </c>
      <c r="N719" s="40">
        <v>2010</v>
      </c>
      <c r="O719" s="40" t="s">
        <v>83</v>
      </c>
      <c r="P719" s="40" t="s">
        <v>126</v>
      </c>
      <c r="Q719" s="40" t="s">
        <v>624</v>
      </c>
      <c r="R719" s="40">
        <v>12</v>
      </c>
      <c r="S719" s="40" t="b">
        <v>0</v>
      </c>
      <c r="T719" s="40" t="b">
        <v>1</v>
      </c>
      <c r="U719" s="42">
        <f t="shared" si="11"/>
        <v>30.6</v>
      </c>
      <c r="V719" s="42">
        <v>0</v>
      </c>
      <c r="W719" s="42">
        <v>30.6</v>
      </c>
    </row>
    <row r="720" spans="4:23" x14ac:dyDescent="0.15">
      <c r="D720" s="43" t="s">
        <v>1452</v>
      </c>
      <c r="E720" s="43" t="s">
        <v>1455</v>
      </c>
      <c r="F720" s="43" t="s">
        <v>1456</v>
      </c>
      <c r="G720" s="43">
        <v>6</v>
      </c>
      <c r="H720" s="44">
        <v>40513.505555555559</v>
      </c>
      <c r="I720" s="43">
        <v>2.5499999999999998</v>
      </c>
      <c r="J720" s="43">
        <v>13758</v>
      </c>
      <c r="K720" s="43" t="s">
        <v>71</v>
      </c>
      <c r="L720" s="45">
        <v>15.3</v>
      </c>
      <c r="M720" s="43" t="s">
        <v>721</v>
      </c>
      <c r="N720" s="43">
        <v>2010</v>
      </c>
      <c r="O720" s="43" t="s">
        <v>83</v>
      </c>
      <c r="P720" s="43" t="s">
        <v>126</v>
      </c>
      <c r="Q720" s="43" t="s">
        <v>624</v>
      </c>
      <c r="R720" s="43">
        <v>12</v>
      </c>
      <c r="S720" s="43" t="b">
        <v>0</v>
      </c>
      <c r="T720" s="43" t="b">
        <v>1</v>
      </c>
      <c r="U720" s="45">
        <f t="shared" si="11"/>
        <v>15.3</v>
      </c>
      <c r="V720" s="45">
        <v>0</v>
      </c>
      <c r="W720" s="45">
        <v>15.3</v>
      </c>
    </row>
    <row r="721" spans="4:23" x14ac:dyDescent="0.15">
      <c r="D721" s="40" t="s">
        <v>1452</v>
      </c>
      <c r="E721" s="40" t="s">
        <v>861</v>
      </c>
      <c r="F721" s="40" t="s">
        <v>862</v>
      </c>
      <c r="G721" s="40">
        <v>12</v>
      </c>
      <c r="H721" s="41">
        <v>40513.505555555559</v>
      </c>
      <c r="I721" s="40">
        <v>1.45</v>
      </c>
      <c r="J721" s="40">
        <v>13758</v>
      </c>
      <c r="K721" s="40" t="s">
        <v>71</v>
      </c>
      <c r="L721" s="42">
        <v>17.399999999999999</v>
      </c>
      <c r="M721" s="40" t="s">
        <v>721</v>
      </c>
      <c r="N721" s="40">
        <v>2010</v>
      </c>
      <c r="O721" s="40" t="s">
        <v>83</v>
      </c>
      <c r="P721" s="40" t="s">
        <v>126</v>
      </c>
      <c r="Q721" s="40" t="s">
        <v>624</v>
      </c>
      <c r="R721" s="40">
        <v>12</v>
      </c>
      <c r="S721" s="40" t="b">
        <v>0</v>
      </c>
      <c r="T721" s="40" t="b">
        <v>1</v>
      </c>
      <c r="U721" s="42">
        <f t="shared" si="11"/>
        <v>17.399999999999999</v>
      </c>
      <c r="V721" s="42">
        <v>0</v>
      </c>
      <c r="W721" s="42">
        <v>17.399999999999999</v>
      </c>
    </row>
    <row r="722" spans="4:23" x14ac:dyDescent="0.15">
      <c r="D722" s="43" t="s">
        <v>1452</v>
      </c>
      <c r="E722" s="43" t="s">
        <v>855</v>
      </c>
      <c r="F722" s="43" t="s">
        <v>856</v>
      </c>
      <c r="G722" s="43">
        <v>12</v>
      </c>
      <c r="H722" s="44">
        <v>40513.505555555559</v>
      </c>
      <c r="I722" s="43">
        <v>1.45</v>
      </c>
      <c r="J722" s="43">
        <v>13758</v>
      </c>
      <c r="K722" s="43" t="s">
        <v>71</v>
      </c>
      <c r="L722" s="45">
        <v>17.399999999999999</v>
      </c>
      <c r="M722" s="43" t="s">
        <v>721</v>
      </c>
      <c r="N722" s="43">
        <v>2010</v>
      </c>
      <c r="O722" s="43" t="s">
        <v>83</v>
      </c>
      <c r="P722" s="43" t="s">
        <v>126</v>
      </c>
      <c r="Q722" s="43" t="s">
        <v>624</v>
      </c>
      <c r="R722" s="43">
        <v>12</v>
      </c>
      <c r="S722" s="43" t="b">
        <v>0</v>
      </c>
      <c r="T722" s="43" t="b">
        <v>1</v>
      </c>
      <c r="U722" s="45">
        <f t="shared" si="11"/>
        <v>17.399999999999999</v>
      </c>
      <c r="V722" s="45">
        <v>0</v>
      </c>
      <c r="W722" s="45">
        <v>17.399999999999999</v>
      </c>
    </row>
    <row r="723" spans="4:23" x14ac:dyDescent="0.15">
      <c r="D723" s="40" t="s">
        <v>1452</v>
      </c>
      <c r="E723" s="40" t="s">
        <v>1457</v>
      </c>
      <c r="F723" s="40" t="s">
        <v>1458</v>
      </c>
      <c r="G723" s="40">
        <v>12</v>
      </c>
      <c r="H723" s="41">
        <v>40513.505555555559</v>
      </c>
      <c r="I723" s="40">
        <v>1.45</v>
      </c>
      <c r="J723" s="40">
        <v>13758</v>
      </c>
      <c r="K723" s="40" t="s">
        <v>71</v>
      </c>
      <c r="L723" s="42">
        <v>17.399999999999999</v>
      </c>
      <c r="M723" s="40" t="s">
        <v>721</v>
      </c>
      <c r="N723" s="40">
        <v>2010</v>
      </c>
      <c r="O723" s="40" t="s">
        <v>83</v>
      </c>
      <c r="P723" s="40" t="s">
        <v>126</v>
      </c>
      <c r="Q723" s="40" t="s">
        <v>624</v>
      </c>
      <c r="R723" s="40">
        <v>12</v>
      </c>
      <c r="S723" s="40" t="b">
        <v>0</v>
      </c>
      <c r="T723" s="40" t="b">
        <v>1</v>
      </c>
      <c r="U723" s="42">
        <f t="shared" si="11"/>
        <v>17.399999999999999</v>
      </c>
      <c r="V723" s="42">
        <v>0</v>
      </c>
      <c r="W723" s="42">
        <v>17.399999999999999</v>
      </c>
    </row>
    <row r="724" spans="4:23" x14ac:dyDescent="0.15">
      <c r="D724" s="43" t="s">
        <v>1452</v>
      </c>
      <c r="E724" s="43" t="s">
        <v>1459</v>
      </c>
      <c r="F724" s="43" t="s">
        <v>1460</v>
      </c>
      <c r="G724" s="43">
        <v>12</v>
      </c>
      <c r="H724" s="44">
        <v>40513.505555555559</v>
      </c>
      <c r="I724" s="43">
        <v>1.45</v>
      </c>
      <c r="J724" s="43">
        <v>13758</v>
      </c>
      <c r="K724" s="43" t="s">
        <v>71</v>
      </c>
      <c r="L724" s="45">
        <v>17.399999999999999</v>
      </c>
      <c r="M724" s="43" t="s">
        <v>721</v>
      </c>
      <c r="N724" s="43">
        <v>2010</v>
      </c>
      <c r="O724" s="43" t="s">
        <v>83</v>
      </c>
      <c r="P724" s="43" t="s">
        <v>126</v>
      </c>
      <c r="Q724" s="43" t="s">
        <v>624</v>
      </c>
      <c r="R724" s="43">
        <v>12</v>
      </c>
      <c r="S724" s="43" t="b">
        <v>0</v>
      </c>
      <c r="T724" s="43" t="b">
        <v>1</v>
      </c>
      <c r="U724" s="45">
        <f t="shared" si="11"/>
        <v>17.399999999999999</v>
      </c>
      <c r="V724" s="45">
        <v>0</v>
      </c>
      <c r="W724" s="45">
        <v>17.399999999999999</v>
      </c>
    </row>
    <row r="725" spans="4:23" x14ac:dyDescent="0.15">
      <c r="D725" s="40" t="s">
        <v>1452</v>
      </c>
      <c r="E725" s="40" t="s">
        <v>1461</v>
      </c>
      <c r="F725" s="40" t="s">
        <v>1462</v>
      </c>
      <c r="G725" s="40">
        <v>8</v>
      </c>
      <c r="H725" s="41">
        <v>40513.505555555559</v>
      </c>
      <c r="I725" s="40">
        <v>3.75</v>
      </c>
      <c r="J725" s="40">
        <v>13758</v>
      </c>
      <c r="K725" s="40" t="s">
        <v>71</v>
      </c>
      <c r="L725" s="42">
        <v>30</v>
      </c>
      <c r="M725" s="40" t="s">
        <v>721</v>
      </c>
      <c r="N725" s="40">
        <v>2010</v>
      </c>
      <c r="O725" s="40" t="s">
        <v>83</v>
      </c>
      <c r="P725" s="40" t="s">
        <v>126</v>
      </c>
      <c r="Q725" s="40" t="s">
        <v>624</v>
      </c>
      <c r="R725" s="40">
        <v>12</v>
      </c>
      <c r="S725" s="40" t="b">
        <v>0</v>
      </c>
      <c r="T725" s="40" t="b">
        <v>1</v>
      </c>
      <c r="U725" s="42">
        <f t="shared" si="11"/>
        <v>30</v>
      </c>
      <c r="V725" s="42">
        <v>0</v>
      </c>
      <c r="W725" s="42">
        <v>30</v>
      </c>
    </row>
    <row r="726" spans="4:23" x14ac:dyDescent="0.15">
      <c r="D726" s="43" t="s">
        <v>1452</v>
      </c>
      <c r="E726" s="43" t="s">
        <v>927</v>
      </c>
      <c r="F726" s="43" t="s">
        <v>928</v>
      </c>
      <c r="G726" s="43">
        <v>3</v>
      </c>
      <c r="H726" s="44">
        <v>40513.505555555559</v>
      </c>
      <c r="I726" s="43">
        <v>4.25</v>
      </c>
      <c r="J726" s="43">
        <v>13758</v>
      </c>
      <c r="K726" s="43" t="s">
        <v>71</v>
      </c>
      <c r="L726" s="45">
        <v>12.75</v>
      </c>
      <c r="M726" s="43" t="s">
        <v>721</v>
      </c>
      <c r="N726" s="43">
        <v>2010</v>
      </c>
      <c r="O726" s="43" t="s">
        <v>83</v>
      </c>
      <c r="P726" s="43" t="s">
        <v>126</v>
      </c>
      <c r="Q726" s="43" t="s">
        <v>624</v>
      </c>
      <c r="R726" s="43">
        <v>12</v>
      </c>
      <c r="S726" s="43" t="b">
        <v>0</v>
      </c>
      <c r="T726" s="43" t="b">
        <v>1</v>
      </c>
      <c r="U726" s="45">
        <f t="shared" si="11"/>
        <v>12.75</v>
      </c>
      <c r="V726" s="45">
        <v>0</v>
      </c>
      <c r="W726" s="45">
        <v>12.75</v>
      </c>
    </row>
    <row r="727" spans="4:23" x14ac:dyDescent="0.15">
      <c r="D727" s="40" t="s">
        <v>1452</v>
      </c>
      <c r="E727" s="40" t="s">
        <v>1463</v>
      </c>
      <c r="F727" s="40" t="s">
        <v>1464</v>
      </c>
      <c r="G727" s="40">
        <v>4</v>
      </c>
      <c r="H727" s="41">
        <v>40513.505555555559</v>
      </c>
      <c r="I727" s="40">
        <v>3.75</v>
      </c>
      <c r="J727" s="40">
        <v>13758</v>
      </c>
      <c r="K727" s="40" t="s">
        <v>71</v>
      </c>
      <c r="L727" s="42">
        <v>15</v>
      </c>
      <c r="M727" s="40" t="s">
        <v>721</v>
      </c>
      <c r="N727" s="40">
        <v>2010</v>
      </c>
      <c r="O727" s="40" t="s">
        <v>83</v>
      </c>
      <c r="P727" s="40" t="s">
        <v>126</v>
      </c>
      <c r="Q727" s="40" t="s">
        <v>624</v>
      </c>
      <c r="R727" s="40">
        <v>12</v>
      </c>
      <c r="S727" s="40" t="b">
        <v>0</v>
      </c>
      <c r="T727" s="40" t="b">
        <v>1</v>
      </c>
      <c r="U727" s="42">
        <f t="shared" si="11"/>
        <v>15</v>
      </c>
      <c r="V727" s="42">
        <v>0</v>
      </c>
      <c r="W727" s="42">
        <v>15</v>
      </c>
    </row>
    <row r="728" spans="4:23" x14ac:dyDescent="0.15">
      <c r="D728" s="43" t="s">
        <v>1452</v>
      </c>
      <c r="E728" s="43" t="s">
        <v>1053</v>
      </c>
      <c r="F728" s="43" t="s">
        <v>1054</v>
      </c>
      <c r="G728" s="43">
        <v>6</v>
      </c>
      <c r="H728" s="44">
        <v>40513.505555555559</v>
      </c>
      <c r="I728" s="43">
        <v>3.35</v>
      </c>
      <c r="J728" s="43">
        <v>13758</v>
      </c>
      <c r="K728" s="43" t="s">
        <v>71</v>
      </c>
      <c r="L728" s="45">
        <v>20.100000000000001</v>
      </c>
      <c r="M728" s="43" t="s">
        <v>721</v>
      </c>
      <c r="N728" s="43">
        <v>2010</v>
      </c>
      <c r="O728" s="43" t="s">
        <v>83</v>
      </c>
      <c r="P728" s="43" t="s">
        <v>126</v>
      </c>
      <c r="Q728" s="43" t="s">
        <v>624</v>
      </c>
      <c r="R728" s="43">
        <v>12</v>
      </c>
      <c r="S728" s="43" t="b">
        <v>0</v>
      </c>
      <c r="T728" s="43" t="b">
        <v>1</v>
      </c>
      <c r="U728" s="45">
        <f t="shared" si="11"/>
        <v>20.100000000000001</v>
      </c>
      <c r="V728" s="45">
        <v>0</v>
      </c>
      <c r="W728" s="45">
        <v>20.100000000000001</v>
      </c>
    </row>
    <row r="729" spans="4:23" x14ac:dyDescent="0.15">
      <c r="D729" s="40" t="s">
        <v>1452</v>
      </c>
      <c r="E729" s="40" t="s">
        <v>1040</v>
      </c>
      <c r="F729" s="40" t="s">
        <v>1041</v>
      </c>
      <c r="G729" s="40">
        <v>6</v>
      </c>
      <c r="H729" s="41">
        <v>40513.505555555559</v>
      </c>
      <c r="I729" s="40">
        <v>3.35</v>
      </c>
      <c r="J729" s="40">
        <v>13758</v>
      </c>
      <c r="K729" s="40" t="s">
        <v>71</v>
      </c>
      <c r="L729" s="42">
        <v>20.100000000000001</v>
      </c>
      <c r="M729" s="40" t="s">
        <v>721</v>
      </c>
      <c r="N729" s="40">
        <v>2010</v>
      </c>
      <c r="O729" s="40" t="s">
        <v>83</v>
      </c>
      <c r="P729" s="40" t="s">
        <v>126</v>
      </c>
      <c r="Q729" s="40" t="s">
        <v>624</v>
      </c>
      <c r="R729" s="40">
        <v>12</v>
      </c>
      <c r="S729" s="40" t="b">
        <v>0</v>
      </c>
      <c r="T729" s="40" t="b">
        <v>1</v>
      </c>
      <c r="U729" s="42">
        <f t="shared" si="11"/>
        <v>20.100000000000001</v>
      </c>
      <c r="V729" s="42">
        <v>0</v>
      </c>
      <c r="W729" s="42">
        <v>20.100000000000001</v>
      </c>
    </row>
    <row r="730" spans="4:23" x14ac:dyDescent="0.15">
      <c r="D730" s="43" t="s">
        <v>1452</v>
      </c>
      <c r="E730" s="43" t="s">
        <v>1073</v>
      </c>
      <c r="F730" s="43" t="s">
        <v>1074</v>
      </c>
      <c r="G730" s="43">
        <v>2</v>
      </c>
      <c r="H730" s="44">
        <v>40513.505555555559</v>
      </c>
      <c r="I730" s="43">
        <v>9.9499999999999993</v>
      </c>
      <c r="J730" s="43">
        <v>13758</v>
      </c>
      <c r="K730" s="43" t="s">
        <v>71</v>
      </c>
      <c r="L730" s="45">
        <v>19.899999999999999</v>
      </c>
      <c r="M730" s="43" t="s">
        <v>721</v>
      </c>
      <c r="N730" s="43">
        <v>2010</v>
      </c>
      <c r="O730" s="43" t="s">
        <v>83</v>
      </c>
      <c r="P730" s="43" t="s">
        <v>126</v>
      </c>
      <c r="Q730" s="43" t="s">
        <v>624</v>
      </c>
      <c r="R730" s="43">
        <v>12</v>
      </c>
      <c r="S730" s="43" t="b">
        <v>0</v>
      </c>
      <c r="T730" s="43" t="b">
        <v>1</v>
      </c>
      <c r="U730" s="45">
        <f t="shared" si="11"/>
        <v>19.899999999999999</v>
      </c>
      <c r="V730" s="45">
        <v>0</v>
      </c>
      <c r="W730" s="45">
        <v>19.899999999999999</v>
      </c>
    </row>
    <row r="731" spans="4:23" x14ac:dyDescent="0.15">
      <c r="D731" s="40" t="s">
        <v>1452</v>
      </c>
      <c r="E731" s="40" t="s">
        <v>1465</v>
      </c>
      <c r="F731" s="40" t="s">
        <v>1466</v>
      </c>
      <c r="G731" s="40">
        <v>2</v>
      </c>
      <c r="H731" s="41">
        <v>40513.505555555559</v>
      </c>
      <c r="I731" s="40">
        <v>9.9499999999999993</v>
      </c>
      <c r="J731" s="40">
        <v>13758</v>
      </c>
      <c r="K731" s="40" t="s">
        <v>71</v>
      </c>
      <c r="L731" s="42">
        <v>19.899999999999999</v>
      </c>
      <c r="M731" s="40" t="s">
        <v>721</v>
      </c>
      <c r="N731" s="40">
        <v>2010</v>
      </c>
      <c r="O731" s="40" t="s">
        <v>83</v>
      </c>
      <c r="P731" s="40" t="s">
        <v>126</v>
      </c>
      <c r="Q731" s="40" t="s">
        <v>624</v>
      </c>
      <c r="R731" s="40">
        <v>12</v>
      </c>
      <c r="S731" s="40" t="b">
        <v>0</v>
      </c>
      <c r="T731" s="40" t="b">
        <v>1</v>
      </c>
      <c r="U731" s="42">
        <f t="shared" si="11"/>
        <v>19.899999999999999</v>
      </c>
      <c r="V731" s="42">
        <v>0</v>
      </c>
      <c r="W731" s="42">
        <v>19.899999999999999</v>
      </c>
    </row>
    <row r="732" spans="4:23" x14ac:dyDescent="0.15">
      <c r="D732" s="43" t="s">
        <v>1452</v>
      </c>
      <c r="E732" s="43" t="s">
        <v>251</v>
      </c>
      <c r="F732" s="43" t="s">
        <v>252</v>
      </c>
      <c r="G732" s="43">
        <v>12</v>
      </c>
      <c r="H732" s="44">
        <v>40513.505555555559</v>
      </c>
      <c r="I732" s="43">
        <v>1.45</v>
      </c>
      <c r="J732" s="43">
        <v>13758</v>
      </c>
      <c r="K732" s="43" t="s">
        <v>71</v>
      </c>
      <c r="L732" s="45">
        <v>17.399999999999999</v>
      </c>
      <c r="M732" s="43" t="s">
        <v>721</v>
      </c>
      <c r="N732" s="43">
        <v>2010</v>
      </c>
      <c r="O732" s="43" t="s">
        <v>83</v>
      </c>
      <c r="P732" s="43" t="s">
        <v>126</v>
      </c>
      <c r="Q732" s="43" t="s">
        <v>624</v>
      </c>
      <c r="R732" s="43">
        <v>12</v>
      </c>
      <c r="S732" s="43" t="b">
        <v>0</v>
      </c>
      <c r="T732" s="43" t="b">
        <v>1</v>
      </c>
      <c r="U732" s="45">
        <f t="shared" si="11"/>
        <v>17.399999999999999</v>
      </c>
      <c r="V732" s="45">
        <v>0</v>
      </c>
      <c r="W732" s="45">
        <v>17.399999999999999</v>
      </c>
    </row>
    <row r="733" spans="4:23" x14ac:dyDescent="0.15">
      <c r="D733" s="40" t="s">
        <v>1467</v>
      </c>
      <c r="E733" s="40" t="s">
        <v>1468</v>
      </c>
      <c r="F733" s="40" t="s">
        <v>1469</v>
      </c>
      <c r="G733" s="40">
        <v>200</v>
      </c>
      <c r="H733" s="41">
        <v>40513.508333333331</v>
      </c>
      <c r="I733" s="40">
        <v>1.06</v>
      </c>
      <c r="J733" s="40">
        <v>13694</v>
      </c>
      <c r="K733" s="40" t="s">
        <v>71</v>
      </c>
      <c r="L733" s="42">
        <v>212</v>
      </c>
      <c r="M733" s="40" t="s">
        <v>721</v>
      </c>
      <c r="N733" s="40">
        <v>2010</v>
      </c>
      <c r="O733" s="40" t="s">
        <v>83</v>
      </c>
      <c r="P733" s="40" t="s">
        <v>126</v>
      </c>
      <c r="Q733" s="40" t="s">
        <v>624</v>
      </c>
      <c r="R733" s="40">
        <v>12</v>
      </c>
      <c r="S733" s="40" t="b">
        <v>0</v>
      </c>
      <c r="T733" s="40" t="b">
        <v>1</v>
      </c>
      <c r="U733" s="42">
        <f t="shared" si="11"/>
        <v>212</v>
      </c>
      <c r="V733" s="42">
        <v>0</v>
      </c>
      <c r="W733" s="42">
        <v>212</v>
      </c>
    </row>
    <row r="734" spans="4:23" x14ac:dyDescent="0.15">
      <c r="D734" s="43" t="s">
        <v>1467</v>
      </c>
      <c r="E734" s="43" t="s">
        <v>281</v>
      </c>
      <c r="F734" s="43" t="s">
        <v>282</v>
      </c>
      <c r="G734" s="43">
        <v>72</v>
      </c>
      <c r="H734" s="44">
        <v>40513.508333333331</v>
      </c>
      <c r="I734" s="43">
        <v>3.39</v>
      </c>
      <c r="J734" s="43">
        <v>13694</v>
      </c>
      <c r="K734" s="43" t="s">
        <v>71</v>
      </c>
      <c r="L734" s="45">
        <v>244.08</v>
      </c>
      <c r="M734" s="43" t="s">
        <v>721</v>
      </c>
      <c r="N734" s="43">
        <v>2010</v>
      </c>
      <c r="O734" s="43" t="s">
        <v>83</v>
      </c>
      <c r="P734" s="43" t="s">
        <v>126</v>
      </c>
      <c r="Q734" s="43" t="s">
        <v>624</v>
      </c>
      <c r="R734" s="43">
        <v>12</v>
      </c>
      <c r="S734" s="43" t="b">
        <v>0</v>
      </c>
      <c r="T734" s="43" t="b">
        <v>1</v>
      </c>
      <c r="U734" s="45">
        <f t="shared" si="11"/>
        <v>244.08</v>
      </c>
      <c r="V734" s="45">
        <v>0</v>
      </c>
      <c r="W734" s="45">
        <v>244.08</v>
      </c>
    </row>
    <row r="735" spans="4:23" x14ac:dyDescent="0.15">
      <c r="D735" s="40" t="s">
        <v>1467</v>
      </c>
      <c r="E735" s="40" t="s">
        <v>1470</v>
      </c>
      <c r="F735" s="40" t="s">
        <v>1471</v>
      </c>
      <c r="G735" s="40">
        <v>600</v>
      </c>
      <c r="H735" s="41">
        <v>40513.508333333331</v>
      </c>
      <c r="I735" s="40">
        <v>0.24</v>
      </c>
      <c r="J735" s="40">
        <v>13694</v>
      </c>
      <c r="K735" s="40" t="s">
        <v>71</v>
      </c>
      <c r="L735" s="42">
        <v>144</v>
      </c>
      <c r="M735" s="40" t="s">
        <v>721</v>
      </c>
      <c r="N735" s="40">
        <v>2010</v>
      </c>
      <c r="O735" s="40" t="s">
        <v>83</v>
      </c>
      <c r="P735" s="40" t="s">
        <v>126</v>
      </c>
      <c r="Q735" s="40" t="s">
        <v>624</v>
      </c>
      <c r="R735" s="40">
        <v>12</v>
      </c>
      <c r="S735" s="40" t="b">
        <v>0</v>
      </c>
      <c r="T735" s="40" t="b">
        <v>1</v>
      </c>
      <c r="U735" s="42">
        <f t="shared" si="11"/>
        <v>144</v>
      </c>
      <c r="V735" s="42">
        <v>0</v>
      </c>
      <c r="W735" s="42">
        <v>144</v>
      </c>
    </row>
    <row r="736" spans="4:23" x14ac:dyDescent="0.15">
      <c r="D736" s="43" t="s">
        <v>1467</v>
      </c>
      <c r="E736" s="43" t="s">
        <v>1472</v>
      </c>
      <c r="F736" s="43" t="s">
        <v>1473</v>
      </c>
      <c r="G736" s="43">
        <v>48</v>
      </c>
      <c r="H736" s="44">
        <v>40513.508333333331</v>
      </c>
      <c r="I736" s="43">
        <v>1.25</v>
      </c>
      <c r="J736" s="43">
        <v>13694</v>
      </c>
      <c r="K736" s="43" t="s">
        <v>71</v>
      </c>
      <c r="L736" s="45">
        <v>60</v>
      </c>
      <c r="M736" s="43" t="s">
        <v>721</v>
      </c>
      <c r="N736" s="43">
        <v>2010</v>
      </c>
      <c r="O736" s="43" t="s">
        <v>83</v>
      </c>
      <c r="P736" s="43" t="s">
        <v>126</v>
      </c>
      <c r="Q736" s="43" t="s">
        <v>624</v>
      </c>
      <c r="R736" s="43">
        <v>12</v>
      </c>
      <c r="S736" s="43" t="b">
        <v>0</v>
      </c>
      <c r="T736" s="43" t="b">
        <v>1</v>
      </c>
      <c r="U736" s="45">
        <f t="shared" si="11"/>
        <v>60</v>
      </c>
      <c r="V736" s="45">
        <v>0</v>
      </c>
      <c r="W736" s="45">
        <v>60</v>
      </c>
    </row>
    <row r="737" spans="4:23" x14ac:dyDescent="0.15">
      <c r="D737" s="40" t="s">
        <v>1467</v>
      </c>
      <c r="E737" s="40" t="s">
        <v>489</v>
      </c>
      <c r="F737" s="40" t="s">
        <v>490</v>
      </c>
      <c r="G737" s="40">
        <v>36</v>
      </c>
      <c r="H737" s="41">
        <v>40513.508333333331</v>
      </c>
      <c r="I737" s="40">
        <v>3.39</v>
      </c>
      <c r="J737" s="40">
        <v>13694</v>
      </c>
      <c r="K737" s="40" t="s">
        <v>71</v>
      </c>
      <c r="L737" s="42">
        <v>122.04</v>
      </c>
      <c r="M737" s="40" t="s">
        <v>721</v>
      </c>
      <c r="N737" s="40">
        <v>2010</v>
      </c>
      <c r="O737" s="40" t="s">
        <v>83</v>
      </c>
      <c r="P737" s="40" t="s">
        <v>126</v>
      </c>
      <c r="Q737" s="40" t="s">
        <v>624</v>
      </c>
      <c r="R737" s="40">
        <v>12</v>
      </c>
      <c r="S737" s="40" t="b">
        <v>0</v>
      </c>
      <c r="T737" s="40" t="b">
        <v>1</v>
      </c>
      <c r="U737" s="42">
        <f t="shared" si="11"/>
        <v>122.04</v>
      </c>
      <c r="V737" s="42">
        <v>0</v>
      </c>
      <c r="W737" s="42">
        <v>122.04</v>
      </c>
    </row>
    <row r="738" spans="4:23" x14ac:dyDescent="0.15">
      <c r="D738" s="43" t="s">
        <v>1467</v>
      </c>
      <c r="E738" s="43" t="s">
        <v>1474</v>
      </c>
      <c r="F738" s="43" t="s">
        <v>1475</v>
      </c>
      <c r="G738" s="43">
        <v>48</v>
      </c>
      <c r="H738" s="44">
        <v>40513.508333333331</v>
      </c>
      <c r="I738" s="43">
        <v>1.25</v>
      </c>
      <c r="J738" s="43">
        <v>13694</v>
      </c>
      <c r="K738" s="43" t="s">
        <v>71</v>
      </c>
      <c r="L738" s="45">
        <v>60</v>
      </c>
      <c r="M738" s="43" t="s">
        <v>721</v>
      </c>
      <c r="N738" s="43">
        <v>2010</v>
      </c>
      <c r="O738" s="43" t="s">
        <v>83</v>
      </c>
      <c r="P738" s="43" t="s">
        <v>126</v>
      </c>
      <c r="Q738" s="43" t="s">
        <v>624</v>
      </c>
      <c r="R738" s="43">
        <v>12</v>
      </c>
      <c r="S738" s="43" t="b">
        <v>0</v>
      </c>
      <c r="T738" s="43" t="b">
        <v>1</v>
      </c>
      <c r="U738" s="45">
        <f t="shared" si="11"/>
        <v>60</v>
      </c>
      <c r="V738" s="45">
        <v>0</v>
      </c>
      <c r="W738" s="45">
        <v>60</v>
      </c>
    </row>
    <row r="739" spans="4:23" x14ac:dyDescent="0.15">
      <c r="D739" s="40" t="s">
        <v>1476</v>
      </c>
      <c r="E739" s="40" t="s">
        <v>1477</v>
      </c>
      <c r="F739" s="40" t="s">
        <v>1478</v>
      </c>
      <c r="G739" s="40">
        <v>32</v>
      </c>
      <c r="H739" s="41">
        <v>40513.510416666657</v>
      </c>
      <c r="I739" s="40">
        <v>0.42</v>
      </c>
      <c r="J739" s="40">
        <v>15983</v>
      </c>
      <c r="K739" s="40" t="s">
        <v>71</v>
      </c>
      <c r="L739" s="42">
        <v>13.44</v>
      </c>
      <c r="M739" s="40" t="s">
        <v>721</v>
      </c>
      <c r="N739" s="40">
        <v>2010</v>
      </c>
      <c r="O739" s="40" t="s">
        <v>83</v>
      </c>
      <c r="P739" s="40" t="s">
        <v>126</v>
      </c>
      <c r="Q739" s="40" t="s">
        <v>624</v>
      </c>
      <c r="R739" s="40">
        <v>12</v>
      </c>
      <c r="S739" s="40" t="b">
        <v>0</v>
      </c>
      <c r="T739" s="40" t="b">
        <v>1</v>
      </c>
      <c r="U739" s="42">
        <f t="shared" si="11"/>
        <v>13.44</v>
      </c>
      <c r="V739" s="42">
        <v>0</v>
      </c>
      <c r="W739" s="42">
        <v>13.44</v>
      </c>
    </row>
    <row r="740" spans="4:23" x14ac:dyDescent="0.15">
      <c r="D740" s="43" t="s">
        <v>1476</v>
      </c>
      <c r="E740" s="43" t="s">
        <v>1479</v>
      </c>
      <c r="F740" s="43" t="s">
        <v>1480</v>
      </c>
      <c r="G740" s="43">
        <v>2</v>
      </c>
      <c r="H740" s="44">
        <v>40513.510416666657</v>
      </c>
      <c r="I740" s="43">
        <v>1.45</v>
      </c>
      <c r="J740" s="43">
        <v>15983</v>
      </c>
      <c r="K740" s="43" t="s">
        <v>71</v>
      </c>
      <c r="L740" s="45">
        <v>2.9</v>
      </c>
      <c r="M740" s="43" t="s">
        <v>721</v>
      </c>
      <c r="N740" s="43">
        <v>2010</v>
      </c>
      <c r="O740" s="43" t="s">
        <v>83</v>
      </c>
      <c r="P740" s="43" t="s">
        <v>126</v>
      </c>
      <c r="Q740" s="43" t="s">
        <v>624</v>
      </c>
      <c r="R740" s="43">
        <v>12</v>
      </c>
      <c r="S740" s="43" t="b">
        <v>0</v>
      </c>
      <c r="T740" s="43" t="b">
        <v>1</v>
      </c>
      <c r="U740" s="45">
        <f t="shared" si="11"/>
        <v>2.9</v>
      </c>
      <c r="V740" s="45">
        <v>0</v>
      </c>
      <c r="W740" s="45">
        <v>2.9</v>
      </c>
    </row>
    <row r="741" spans="4:23" x14ac:dyDescent="0.15">
      <c r="D741" s="40" t="s">
        <v>1476</v>
      </c>
      <c r="E741" s="40" t="s">
        <v>1325</v>
      </c>
      <c r="F741" s="40" t="s">
        <v>1326</v>
      </c>
      <c r="G741" s="40">
        <v>2</v>
      </c>
      <c r="H741" s="41">
        <v>40513.510416666657</v>
      </c>
      <c r="I741" s="40">
        <v>2.1</v>
      </c>
      <c r="J741" s="40">
        <v>15983</v>
      </c>
      <c r="K741" s="40" t="s">
        <v>71</v>
      </c>
      <c r="L741" s="42">
        <v>4.2</v>
      </c>
      <c r="M741" s="40" t="s">
        <v>721</v>
      </c>
      <c r="N741" s="40">
        <v>2010</v>
      </c>
      <c r="O741" s="40" t="s">
        <v>83</v>
      </c>
      <c r="P741" s="40" t="s">
        <v>126</v>
      </c>
      <c r="Q741" s="40" t="s">
        <v>624</v>
      </c>
      <c r="R741" s="40">
        <v>12</v>
      </c>
      <c r="S741" s="40" t="b">
        <v>0</v>
      </c>
      <c r="T741" s="40" t="b">
        <v>1</v>
      </c>
      <c r="U741" s="42">
        <f t="shared" si="11"/>
        <v>4.2</v>
      </c>
      <c r="V741" s="42">
        <v>0</v>
      </c>
      <c r="W741" s="42">
        <v>4.2</v>
      </c>
    </row>
    <row r="742" spans="4:23" x14ac:dyDescent="0.15">
      <c r="D742" s="43" t="s">
        <v>1476</v>
      </c>
      <c r="E742" s="43" t="s">
        <v>1481</v>
      </c>
      <c r="F742" s="43" t="s">
        <v>1482</v>
      </c>
      <c r="G742" s="43">
        <v>6</v>
      </c>
      <c r="H742" s="44">
        <v>40513.510416666657</v>
      </c>
      <c r="I742" s="43">
        <v>1.25</v>
      </c>
      <c r="J742" s="43">
        <v>15983</v>
      </c>
      <c r="K742" s="43" t="s">
        <v>71</v>
      </c>
      <c r="L742" s="45">
        <v>7.5</v>
      </c>
      <c r="M742" s="43" t="s">
        <v>721</v>
      </c>
      <c r="N742" s="43">
        <v>2010</v>
      </c>
      <c r="O742" s="43" t="s">
        <v>83</v>
      </c>
      <c r="P742" s="43" t="s">
        <v>126</v>
      </c>
      <c r="Q742" s="43" t="s">
        <v>624</v>
      </c>
      <c r="R742" s="43">
        <v>12</v>
      </c>
      <c r="S742" s="43" t="b">
        <v>0</v>
      </c>
      <c r="T742" s="43" t="b">
        <v>1</v>
      </c>
      <c r="U742" s="45">
        <f t="shared" si="11"/>
        <v>7.5</v>
      </c>
      <c r="V742" s="45">
        <v>0</v>
      </c>
      <c r="W742" s="45">
        <v>7.5</v>
      </c>
    </row>
    <row r="743" spans="4:23" x14ac:dyDescent="0.15">
      <c r="D743" s="40" t="s">
        <v>1476</v>
      </c>
      <c r="E743" s="40" t="s">
        <v>1483</v>
      </c>
      <c r="F743" s="40" t="s">
        <v>1484</v>
      </c>
      <c r="G743" s="40">
        <v>12</v>
      </c>
      <c r="H743" s="41">
        <v>40513.510416666657</v>
      </c>
      <c r="I743" s="40">
        <v>1.25</v>
      </c>
      <c r="J743" s="40">
        <v>15983</v>
      </c>
      <c r="K743" s="40" t="s">
        <v>71</v>
      </c>
      <c r="L743" s="42">
        <v>15</v>
      </c>
      <c r="M743" s="40" t="s">
        <v>721</v>
      </c>
      <c r="N743" s="40">
        <v>2010</v>
      </c>
      <c r="O743" s="40" t="s">
        <v>83</v>
      </c>
      <c r="P743" s="40" t="s">
        <v>126</v>
      </c>
      <c r="Q743" s="40" t="s">
        <v>624</v>
      </c>
      <c r="R743" s="40">
        <v>12</v>
      </c>
      <c r="S743" s="40" t="b">
        <v>0</v>
      </c>
      <c r="T743" s="40" t="b">
        <v>1</v>
      </c>
      <c r="U743" s="42">
        <f t="shared" si="11"/>
        <v>15</v>
      </c>
      <c r="V743" s="42">
        <v>0</v>
      </c>
      <c r="W743" s="42">
        <v>15</v>
      </c>
    </row>
    <row r="744" spans="4:23" x14ac:dyDescent="0.15">
      <c r="D744" s="43" t="s">
        <v>1476</v>
      </c>
      <c r="E744" s="43" t="s">
        <v>1485</v>
      </c>
      <c r="F744" s="43" t="s">
        <v>1486</v>
      </c>
      <c r="G744" s="43">
        <v>48</v>
      </c>
      <c r="H744" s="44">
        <v>40513.510416666657</v>
      </c>
      <c r="I744" s="43">
        <v>1.25</v>
      </c>
      <c r="J744" s="43">
        <v>15983</v>
      </c>
      <c r="K744" s="43" t="s">
        <v>71</v>
      </c>
      <c r="L744" s="45">
        <v>60</v>
      </c>
      <c r="M744" s="43" t="s">
        <v>721</v>
      </c>
      <c r="N744" s="43">
        <v>2010</v>
      </c>
      <c r="O744" s="43" t="s">
        <v>83</v>
      </c>
      <c r="P744" s="43" t="s">
        <v>126</v>
      </c>
      <c r="Q744" s="43" t="s">
        <v>624</v>
      </c>
      <c r="R744" s="43">
        <v>12</v>
      </c>
      <c r="S744" s="43" t="b">
        <v>0</v>
      </c>
      <c r="T744" s="43" t="b">
        <v>1</v>
      </c>
      <c r="U744" s="45">
        <f t="shared" si="11"/>
        <v>60</v>
      </c>
      <c r="V744" s="45">
        <v>0</v>
      </c>
      <c r="W744" s="45">
        <v>60</v>
      </c>
    </row>
    <row r="745" spans="4:23" x14ac:dyDescent="0.15">
      <c r="D745" s="40" t="s">
        <v>1476</v>
      </c>
      <c r="E745" s="40" t="s">
        <v>1487</v>
      </c>
      <c r="F745" s="40" t="s">
        <v>1488</v>
      </c>
      <c r="G745" s="40">
        <v>1</v>
      </c>
      <c r="H745" s="41">
        <v>40513.510416666657</v>
      </c>
      <c r="I745" s="40">
        <v>1.95</v>
      </c>
      <c r="J745" s="40">
        <v>15983</v>
      </c>
      <c r="K745" s="40" t="s">
        <v>71</v>
      </c>
      <c r="L745" s="42">
        <v>1.95</v>
      </c>
      <c r="M745" s="40" t="s">
        <v>721</v>
      </c>
      <c r="N745" s="40">
        <v>2010</v>
      </c>
      <c r="O745" s="40" t="s">
        <v>83</v>
      </c>
      <c r="P745" s="40" t="s">
        <v>126</v>
      </c>
      <c r="Q745" s="40" t="s">
        <v>624</v>
      </c>
      <c r="R745" s="40">
        <v>12</v>
      </c>
      <c r="S745" s="40" t="b">
        <v>0</v>
      </c>
      <c r="T745" s="40" t="b">
        <v>1</v>
      </c>
      <c r="U745" s="42">
        <f t="shared" si="11"/>
        <v>1.95</v>
      </c>
      <c r="V745" s="42">
        <v>0</v>
      </c>
      <c r="W745" s="42">
        <v>1.95</v>
      </c>
    </row>
    <row r="746" spans="4:23" x14ac:dyDescent="0.15">
      <c r="D746" s="43" t="s">
        <v>1476</v>
      </c>
      <c r="E746" s="43" t="s">
        <v>1489</v>
      </c>
      <c r="F746" s="43" t="s">
        <v>1490</v>
      </c>
      <c r="G746" s="43">
        <v>5</v>
      </c>
      <c r="H746" s="44">
        <v>40513.510416666657</v>
      </c>
      <c r="I746" s="43">
        <v>0.85</v>
      </c>
      <c r="J746" s="43">
        <v>15983</v>
      </c>
      <c r="K746" s="43" t="s">
        <v>71</v>
      </c>
      <c r="L746" s="45">
        <v>4.25</v>
      </c>
      <c r="M746" s="43" t="s">
        <v>721</v>
      </c>
      <c r="N746" s="43">
        <v>2010</v>
      </c>
      <c r="O746" s="43" t="s">
        <v>83</v>
      </c>
      <c r="P746" s="43" t="s">
        <v>126</v>
      </c>
      <c r="Q746" s="43" t="s">
        <v>624</v>
      </c>
      <c r="R746" s="43">
        <v>12</v>
      </c>
      <c r="S746" s="43" t="b">
        <v>0</v>
      </c>
      <c r="T746" s="43" t="b">
        <v>1</v>
      </c>
      <c r="U746" s="45">
        <f t="shared" si="11"/>
        <v>4.25</v>
      </c>
      <c r="V746" s="45">
        <v>0</v>
      </c>
      <c r="W746" s="45">
        <v>4.25</v>
      </c>
    </row>
    <row r="747" spans="4:23" x14ac:dyDescent="0.15">
      <c r="D747" s="40" t="s">
        <v>1476</v>
      </c>
      <c r="E747" s="40" t="s">
        <v>1491</v>
      </c>
      <c r="F747" s="40" t="s">
        <v>1492</v>
      </c>
      <c r="G747" s="40">
        <v>6</v>
      </c>
      <c r="H747" s="41">
        <v>40513.510416666657</v>
      </c>
      <c r="I747" s="40">
        <v>2.5499999999999998</v>
      </c>
      <c r="J747" s="40">
        <v>15983</v>
      </c>
      <c r="K747" s="40" t="s">
        <v>71</v>
      </c>
      <c r="L747" s="42">
        <v>15.3</v>
      </c>
      <c r="M747" s="40" t="s">
        <v>721</v>
      </c>
      <c r="N747" s="40">
        <v>2010</v>
      </c>
      <c r="O747" s="40" t="s">
        <v>83</v>
      </c>
      <c r="P747" s="40" t="s">
        <v>126</v>
      </c>
      <c r="Q747" s="40" t="s">
        <v>624</v>
      </c>
      <c r="R747" s="40">
        <v>12</v>
      </c>
      <c r="S747" s="40" t="b">
        <v>0</v>
      </c>
      <c r="T747" s="40" t="b">
        <v>1</v>
      </c>
      <c r="U747" s="42">
        <f t="shared" si="11"/>
        <v>15.3</v>
      </c>
      <c r="V747" s="42">
        <v>0</v>
      </c>
      <c r="W747" s="42">
        <v>15.3</v>
      </c>
    </row>
    <row r="748" spans="4:23" x14ac:dyDescent="0.15">
      <c r="D748" s="43" t="s">
        <v>1476</v>
      </c>
      <c r="E748" s="43" t="s">
        <v>1485</v>
      </c>
      <c r="F748" s="43" t="s">
        <v>1486</v>
      </c>
      <c r="G748" s="43">
        <v>24</v>
      </c>
      <c r="H748" s="44">
        <v>40513.510416666657</v>
      </c>
      <c r="I748" s="43">
        <v>1.25</v>
      </c>
      <c r="J748" s="43">
        <v>15983</v>
      </c>
      <c r="K748" s="43" t="s">
        <v>71</v>
      </c>
      <c r="L748" s="45">
        <v>30</v>
      </c>
      <c r="M748" s="43" t="s">
        <v>721</v>
      </c>
      <c r="N748" s="43">
        <v>2010</v>
      </c>
      <c r="O748" s="43" t="s">
        <v>83</v>
      </c>
      <c r="P748" s="43" t="s">
        <v>126</v>
      </c>
      <c r="Q748" s="43" t="s">
        <v>624</v>
      </c>
      <c r="R748" s="43">
        <v>12</v>
      </c>
      <c r="S748" s="43" t="b">
        <v>0</v>
      </c>
      <c r="T748" s="43" t="b">
        <v>1</v>
      </c>
      <c r="U748" s="45">
        <f t="shared" si="11"/>
        <v>30</v>
      </c>
      <c r="V748" s="45">
        <v>0</v>
      </c>
      <c r="W748" s="45">
        <v>30</v>
      </c>
    </row>
    <row r="749" spans="4:23" x14ac:dyDescent="0.15">
      <c r="D749" s="40" t="s">
        <v>1476</v>
      </c>
      <c r="E749" s="40" t="s">
        <v>1493</v>
      </c>
      <c r="F749" s="40" t="s">
        <v>1494</v>
      </c>
      <c r="G749" s="40">
        <v>12</v>
      </c>
      <c r="H749" s="41">
        <v>40513.510416666657</v>
      </c>
      <c r="I749" s="40">
        <v>1.25</v>
      </c>
      <c r="J749" s="40">
        <v>15983</v>
      </c>
      <c r="K749" s="40" t="s">
        <v>71</v>
      </c>
      <c r="L749" s="42">
        <v>15</v>
      </c>
      <c r="M749" s="40" t="s">
        <v>721</v>
      </c>
      <c r="N749" s="40">
        <v>2010</v>
      </c>
      <c r="O749" s="40" t="s">
        <v>83</v>
      </c>
      <c r="P749" s="40" t="s">
        <v>126</v>
      </c>
      <c r="Q749" s="40" t="s">
        <v>624</v>
      </c>
      <c r="R749" s="40">
        <v>12</v>
      </c>
      <c r="S749" s="40" t="b">
        <v>0</v>
      </c>
      <c r="T749" s="40" t="b">
        <v>1</v>
      </c>
      <c r="U749" s="42">
        <f t="shared" si="11"/>
        <v>15</v>
      </c>
      <c r="V749" s="42">
        <v>0</v>
      </c>
      <c r="W749" s="42">
        <v>15</v>
      </c>
    </row>
    <row r="750" spans="4:23" x14ac:dyDescent="0.15">
      <c r="D750" s="43" t="s">
        <v>1476</v>
      </c>
      <c r="E750" s="43" t="s">
        <v>1495</v>
      </c>
      <c r="F750" s="43" t="s">
        <v>1496</v>
      </c>
      <c r="G750" s="43">
        <v>2</v>
      </c>
      <c r="H750" s="44">
        <v>40513.510416666657</v>
      </c>
      <c r="I750" s="43">
        <v>1.65</v>
      </c>
      <c r="J750" s="43">
        <v>15983</v>
      </c>
      <c r="K750" s="43" t="s">
        <v>71</v>
      </c>
      <c r="L750" s="45">
        <v>3.3</v>
      </c>
      <c r="M750" s="43" t="s">
        <v>721</v>
      </c>
      <c r="N750" s="43">
        <v>2010</v>
      </c>
      <c r="O750" s="43" t="s">
        <v>83</v>
      </c>
      <c r="P750" s="43" t="s">
        <v>126</v>
      </c>
      <c r="Q750" s="43" t="s">
        <v>624</v>
      </c>
      <c r="R750" s="43">
        <v>12</v>
      </c>
      <c r="S750" s="43" t="b">
        <v>0</v>
      </c>
      <c r="T750" s="43" t="b">
        <v>1</v>
      </c>
      <c r="U750" s="45">
        <f t="shared" si="11"/>
        <v>3.3</v>
      </c>
      <c r="V750" s="45">
        <v>0</v>
      </c>
      <c r="W750" s="45">
        <v>3.3</v>
      </c>
    </row>
    <row r="751" spans="4:23" x14ac:dyDescent="0.15">
      <c r="D751" s="40" t="s">
        <v>1476</v>
      </c>
      <c r="E751" s="40" t="s">
        <v>1497</v>
      </c>
      <c r="F751" s="40" t="s">
        <v>1498</v>
      </c>
      <c r="G751" s="40">
        <v>2</v>
      </c>
      <c r="H751" s="41">
        <v>40513.510416666657</v>
      </c>
      <c r="I751" s="40">
        <v>1.65</v>
      </c>
      <c r="J751" s="40">
        <v>15983</v>
      </c>
      <c r="K751" s="40" t="s">
        <v>71</v>
      </c>
      <c r="L751" s="42">
        <v>3.3</v>
      </c>
      <c r="M751" s="40" t="s">
        <v>721</v>
      </c>
      <c r="N751" s="40">
        <v>2010</v>
      </c>
      <c r="O751" s="40" t="s">
        <v>83</v>
      </c>
      <c r="P751" s="40" t="s">
        <v>126</v>
      </c>
      <c r="Q751" s="40" t="s">
        <v>624</v>
      </c>
      <c r="R751" s="40">
        <v>12</v>
      </c>
      <c r="S751" s="40" t="b">
        <v>0</v>
      </c>
      <c r="T751" s="40" t="b">
        <v>1</v>
      </c>
      <c r="U751" s="42">
        <f t="shared" si="11"/>
        <v>3.3</v>
      </c>
      <c r="V751" s="42">
        <v>0</v>
      </c>
      <c r="W751" s="42">
        <v>3.3</v>
      </c>
    </row>
    <row r="752" spans="4:23" x14ac:dyDescent="0.15">
      <c r="D752" s="43" t="s">
        <v>1476</v>
      </c>
      <c r="E752" s="43" t="s">
        <v>1499</v>
      </c>
      <c r="F752" s="43" t="s">
        <v>1500</v>
      </c>
      <c r="G752" s="43">
        <v>2</v>
      </c>
      <c r="H752" s="44">
        <v>40513.510416666657</v>
      </c>
      <c r="I752" s="43">
        <v>1.65</v>
      </c>
      <c r="J752" s="43">
        <v>15983</v>
      </c>
      <c r="K752" s="43" t="s">
        <v>71</v>
      </c>
      <c r="L752" s="45">
        <v>3.3</v>
      </c>
      <c r="M752" s="43" t="s">
        <v>721</v>
      </c>
      <c r="N752" s="43">
        <v>2010</v>
      </c>
      <c r="O752" s="43" t="s">
        <v>83</v>
      </c>
      <c r="P752" s="43" t="s">
        <v>126</v>
      </c>
      <c r="Q752" s="43" t="s">
        <v>624</v>
      </c>
      <c r="R752" s="43">
        <v>12</v>
      </c>
      <c r="S752" s="43" t="b">
        <v>0</v>
      </c>
      <c r="T752" s="43" t="b">
        <v>1</v>
      </c>
      <c r="U752" s="45">
        <f t="shared" si="11"/>
        <v>3.3</v>
      </c>
      <c r="V752" s="45">
        <v>0</v>
      </c>
      <c r="W752" s="45">
        <v>3.3</v>
      </c>
    </row>
    <row r="753" spans="4:23" x14ac:dyDescent="0.15">
      <c r="D753" s="40" t="s">
        <v>1476</v>
      </c>
      <c r="E753" s="40" t="s">
        <v>1501</v>
      </c>
      <c r="F753" s="40" t="s">
        <v>1502</v>
      </c>
      <c r="G753" s="40">
        <v>10</v>
      </c>
      <c r="H753" s="41">
        <v>40513.510416666657</v>
      </c>
      <c r="I753" s="40">
        <v>0.85</v>
      </c>
      <c r="J753" s="40">
        <v>15983</v>
      </c>
      <c r="K753" s="40" t="s">
        <v>71</v>
      </c>
      <c r="L753" s="42">
        <v>8.5</v>
      </c>
      <c r="M753" s="40" t="s">
        <v>721</v>
      </c>
      <c r="N753" s="40">
        <v>2010</v>
      </c>
      <c r="O753" s="40" t="s">
        <v>83</v>
      </c>
      <c r="P753" s="40" t="s">
        <v>126</v>
      </c>
      <c r="Q753" s="40" t="s">
        <v>624</v>
      </c>
      <c r="R753" s="40">
        <v>12</v>
      </c>
      <c r="S753" s="40" t="b">
        <v>0</v>
      </c>
      <c r="T753" s="40" t="b">
        <v>1</v>
      </c>
      <c r="U753" s="42">
        <f t="shared" si="11"/>
        <v>8.5</v>
      </c>
      <c r="V753" s="42">
        <v>0</v>
      </c>
      <c r="W753" s="42">
        <v>8.5</v>
      </c>
    </row>
    <row r="754" spans="4:23" x14ac:dyDescent="0.15">
      <c r="D754" s="43" t="s">
        <v>1476</v>
      </c>
      <c r="E754" s="43" t="s">
        <v>1503</v>
      </c>
      <c r="F754" s="43" t="s">
        <v>1504</v>
      </c>
      <c r="G754" s="43">
        <v>10</v>
      </c>
      <c r="H754" s="44">
        <v>40513.510416666657</v>
      </c>
      <c r="I754" s="43">
        <v>0.42</v>
      </c>
      <c r="J754" s="43">
        <v>15983</v>
      </c>
      <c r="K754" s="43" t="s">
        <v>71</v>
      </c>
      <c r="L754" s="45">
        <v>4.2</v>
      </c>
      <c r="M754" s="43" t="s">
        <v>721</v>
      </c>
      <c r="N754" s="43">
        <v>2010</v>
      </c>
      <c r="O754" s="43" t="s">
        <v>83</v>
      </c>
      <c r="P754" s="43" t="s">
        <v>126</v>
      </c>
      <c r="Q754" s="43" t="s">
        <v>624</v>
      </c>
      <c r="R754" s="43">
        <v>12</v>
      </c>
      <c r="S754" s="43" t="b">
        <v>0</v>
      </c>
      <c r="T754" s="43" t="b">
        <v>1</v>
      </c>
      <c r="U754" s="45">
        <f t="shared" si="11"/>
        <v>4.2</v>
      </c>
      <c r="V754" s="45">
        <v>0</v>
      </c>
      <c r="W754" s="45">
        <v>4.2</v>
      </c>
    </row>
    <row r="755" spans="4:23" x14ac:dyDescent="0.15">
      <c r="D755" s="40" t="s">
        <v>1476</v>
      </c>
      <c r="E755" s="40" t="s">
        <v>1437</v>
      </c>
      <c r="F755" s="40" t="s">
        <v>1438</v>
      </c>
      <c r="G755" s="40">
        <v>2</v>
      </c>
      <c r="H755" s="41">
        <v>40513.510416666657</v>
      </c>
      <c r="I755" s="40">
        <v>2.95</v>
      </c>
      <c r="J755" s="40">
        <v>15983</v>
      </c>
      <c r="K755" s="40" t="s">
        <v>71</v>
      </c>
      <c r="L755" s="42">
        <v>5.9</v>
      </c>
      <c r="M755" s="40" t="s">
        <v>721</v>
      </c>
      <c r="N755" s="40">
        <v>2010</v>
      </c>
      <c r="O755" s="40" t="s">
        <v>83</v>
      </c>
      <c r="P755" s="40" t="s">
        <v>126</v>
      </c>
      <c r="Q755" s="40" t="s">
        <v>624</v>
      </c>
      <c r="R755" s="40">
        <v>12</v>
      </c>
      <c r="S755" s="40" t="b">
        <v>0</v>
      </c>
      <c r="T755" s="40" t="b">
        <v>1</v>
      </c>
      <c r="U755" s="42">
        <f t="shared" si="11"/>
        <v>5.9</v>
      </c>
      <c r="V755" s="42">
        <v>0</v>
      </c>
      <c r="W755" s="42">
        <v>5.9</v>
      </c>
    </row>
    <row r="756" spans="4:23" x14ac:dyDescent="0.15">
      <c r="D756" s="43" t="s">
        <v>1476</v>
      </c>
      <c r="E756" s="43" t="s">
        <v>999</v>
      </c>
      <c r="F756" s="43" t="s">
        <v>1000</v>
      </c>
      <c r="G756" s="43">
        <v>2</v>
      </c>
      <c r="H756" s="44">
        <v>40513.510416666657</v>
      </c>
      <c r="I756" s="43">
        <v>1.25</v>
      </c>
      <c r="J756" s="43">
        <v>15983</v>
      </c>
      <c r="K756" s="43" t="s">
        <v>71</v>
      </c>
      <c r="L756" s="45">
        <v>2.5</v>
      </c>
      <c r="M756" s="43" t="s">
        <v>721</v>
      </c>
      <c r="N756" s="43">
        <v>2010</v>
      </c>
      <c r="O756" s="43" t="s">
        <v>83</v>
      </c>
      <c r="P756" s="43" t="s">
        <v>126</v>
      </c>
      <c r="Q756" s="43" t="s">
        <v>624</v>
      </c>
      <c r="R756" s="43">
        <v>12</v>
      </c>
      <c r="S756" s="43" t="b">
        <v>0</v>
      </c>
      <c r="T756" s="43" t="b">
        <v>1</v>
      </c>
      <c r="U756" s="45">
        <f t="shared" si="11"/>
        <v>2.5</v>
      </c>
      <c r="V756" s="45">
        <v>0</v>
      </c>
      <c r="W756" s="45">
        <v>2.5</v>
      </c>
    </row>
    <row r="757" spans="4:23" x14ac:dyDescent="0.15">
      <c r="D757" s="40" t="s">
        <v>1476</v>
      </c>
      <c r="E757" s="40" t="s">
        <v>997</v>
      </c>
      <c r="F757" s="40" t="s">
        <v>998</v>
      </c>
      <c r="G757" s="40">
        <v>8</v>
      </c>
      <c r="H757" s="41">
        <v>40513.510416666657</v>
      </c>
      <c r="I757" s="40">
        <v>3.75</v>
      </c>
      <c r="J757" s="40">
        <v>15983</v>
      </c>
      <c r="K757" s="40" t="s">
        <v>71</v>
      </c>
      <c r="L757" s="42">
        <v>30</v>
      </c>
      <c r="M757" s="40" t="s">
        <v>721</v>
      </c>
      <c r="N757" s="40">
        <v>2010</v>
      </c>
      <c r="O757" s="40" t="s">
        <v>83</v>
      </c>
      <c r="P757" s="40" t="s">
        <v>126</v>
      </c>
      <c r="Q757" s="40" t="s">
        <v>624</v>
      </c>
      <c r="R757" s="40">
        <v>12</v>
      </c>
      <c r="S757" s="40" t="b">
        <v>0</v>
      </c>
      <c r="T757" s="40" t="b">
        <v>1</v>
      </c>
      <c r="U757" s="42">
        <f t="shared" si="11"/>
        <v>30</v>
      </c>
      <c r="V757" s="42">
        <v>0</v>
      </c>
      <c r="W757" s="42">
        <v>30</v>
      </c>
    </row>
    <row r="758" spans="4:23" x14ac:dyDescent="0.15">
      <c r="D758" s="43" t="s">
        <v>1476</v>
      </c>
      <c r="E758" s="43" t="s">
        <v>1231</v>
      </c>
      <c r="F758" s="43" t="s">
        <v>1232</v>
      </c>
      <c r="G758" s="43">
        <v>6</v>
      </c>
      <c r="H758" s="44">
        <v>40513.510416666657</v>
      </c>
      <c r="I758" s="43">
        <v>1.25</v>
      </c>
      <c r="J758" s="43">
        <v>15983</v>
      </c>
      <c r="K758" s="43" t="s">
        <v>71</v>
      </c>
      <c r="L758" s="45">
        <v>7.5</v>
      </c>
      <c r="M758" s="43" t="s">
        <v>721</v>
      </c>
      <c r="N758" s="43">
        <v>2010</v>
      </c>
      <c r="O758" s="43" t="s">
        <v>83</v>
      </c>
      <c r="P758" s="43" t="s">
        <v>126</v>
      </c>
      <c r="Q758" s="43" t="s">
        <v>624</v>
      </c>
      <c r="R758" s="43">
        <v>12</v>
      </c>
      <c r="S758" s="43" t="b">
        <v>0</v>
      </c>
      <c r="T758" s="43" t="b">
        <v>1</v>
      </c>
      <c r="U758" s="45">
        <f t="shared" si="11"/>
        <v>7.5</v>
      </c>
      <c r="V758" s="45">
        <v>0</v>
      </c>
      <c r="W758" s="45">
        <v>7.5</v>
      </c>
    </row>
    <row r="759" spans="4:23" x14ac:dyDescent="0.15">
      <c r="D759" s="40" t="s">
        <v>1476</v>
      </c>
      <c r="E759" s="40" t="s">
        <v>241</v>
      </c>
      <c r="F759" s="40" t="s">
        <v>242</v>
      </c>
      <c r="G759" s="40">
        <v>12</v>
      </c>
      <c r="H759" s="41">
        <v>40513.510416666657</v>
      </c>
      <c r="I759" s="40">
        <v>2.5499999999999998</v>
      </c>
      <c r="J759" s="40">
        <v>15983</v>
      </c>
      <c r="K759" s="40" t="s">
        <v>71</v>
      </c>
      <c r="L759" s="42">
        <v>30.6</v>
      </c>
      <c r="M759" s="40" t="s">
        <v>721</v>
      </c>
      <c r="N759" s="40">
        <v>2010</v>
      </c>
      <c r="O759" s="40" t="s">
        <v>83</v>
      </c>
      <c r="P759" s="40" t="s">
        <v>126</v>
      </c>
      <c r="Q759" s="40" t="s">
        <v>624</v>
      </c>
      <c r="R759" s="40">
        <v>12</v>
      </c>
      <c r="S759" s="40" t="b">
        <v>0</v>
      </c>
      <c r="T759" s="40" t="b">
        <v>1</v>
      </c>
      <c r="U759" s="42">
        <f t="shared" si="11"/>
        <v>30.6</v>
      </c>
      <c r="V759" s="42">
        <v>0</v>
      </c>
      <c r="W759" s="42">
        <v>30.6</v>
      </c>
    </row>
    <row r="760" spans="4:23" x14ac:dyDescent="0.15">
      <c r="D760" s="43" t="s">
        <v>1476</v>
      </c>
      <c r="E760" s="43" t="s">
        <v>1274</v>
      </c>
      <c r="F760" s="43" t="s">
        <v>1275</v>
      </c>
      <c r="G760" s="43">
        <v>24</v>
      </c>
      <c r="H760" s="44">
        <v>40513.510416666657</v>
      </c>
      <c r="I760" s="43">
        <v>1.25</v>
      </c>
      <c r="J760" s="43">
        <v>15983</v>
      </c>
      <c r="K760" s="43" t="s">
        <v>71</v>
      </c>
      <c r="L760" s="45">
        <v>30</v>
      </c>
      <c r="M760" s="43" t="s">
        <v>721</v>
      </c>
      <c r="N760" s="43">
        <v>2010</v>
      </c>
      <c r="O760" s="43" t="s">
        <v>83</v>
      </c>
      <c r="P760" s="43" t="s">
        <v>126</v>
      </c>
      <c r="Q760" s="43" t="s">
        <v>624</v>
      </c>
      <c r="R760" s="43">
        <v>12</v>
      </c>
      <c r="S760" s="43" t="b">
        <v>0</v>
      </c>
      <c r="T760" s="43" t="b">
        <v>1</v>
      </c>
      <c r="U760" s="45">
        <f t="shared" si="11"/>
        <v>30</v>
      </c>
      <c r="V760" s="45">
        <v>0</v>
      </c>
      <c r="W760" s="45">
        <v>30</v>
      </c>
    </row>
    <row r="761" spans="4:23" x14ac:dyDescent="0.15">
      <c r="D761" s="40" t="s">
        <v>1476</v>
      </c>
      <c r="E761" s="40" t="s">
        <v>1487</v>
      </c>
      <c r="F761" s="40" t="s">
        <v>1488</v>
      </c>
      <c r="G761" s="40">
        <v>3</v>
      </c>
      <c r="H761" s="41">
        <v>40513.510416666657</v>
      </c>
      <c r="I761" s="40">
        <v>1.95</v>
      </c>
      <c r="J761" s="40">
        <v>15983</v>
      </c>
      <c r="K761" s="40" t="s">
        <v>71</v>
      </c>
      <c r="L761" s="42">
        <v>5.85</v>
      </c>
      <c r="M761" s="40" t="s">
        <v>721</v>
      </c>
      <c r="N761" s="40">
        <v>2010</v>
      </c>
      <c r="O761" s="40" t="s">
        <v>83</v>
      </c>
      <c r="P761" s="40" t="s">
        <v>126</v>
      </c>
      <c r="Q761" s="40" t="s">
        <v>624</v>
      </c>
      <c r="R761" s="40">
        <v>12</v>
      </c>
      <c r="S761" s="40" t="b">
        <v>0</v>
      </c>
      <c r="T761" s="40" t="b">
        <v>1</v>
      </c>
      <c r="U761" s="42">
        <f t="shared" si="11"/>
        <v>5.85</v>
      </c>
      <c r="V761" s="42">
        <v>0</v>
      </c>
      <c r="W761" s="42">
        <v>5.85</v>
      </c>
    </row>
    <row r="762" spans="4:23" x14ac:dyDescent="0.15">
      <c r="D762" s="43" t="s">
        <v>1476</v>
      </c>
      <c r="E762" s="43" t="s">
        <v>1505</v>
      </c>
      <c r="F762" s="43" t="s">
        <v>1506</v>
      </c>
      <c r="G762" s="43">
        <v>6</v>
      </c>
      <c r="H762" s="44">
        <v>40513.510416666657</v>
      </c>
      <c r="I762" s="43">
        <v>1.65</v>
      </c>
      <c r="J762" s="43">
        <v>15983</v>
      </c>
      <c r="K762" s="43" t="s">
        <v>71</v>
      </c>
      <c r="L762" s="45">
        <v>9.8999999999999986</v>
      </c>
      <c r="M762" s="43" t="s">
        <v>721</v>
      </c>
      <c r="N762" s="43">
        <v>2010</v>
      </c>
      <c r="O762" s="43" t="s">
        <v>83</v>
      </c>
      <c r="P762" s="43" t="s">
        <v>126</v>
      </c>
      <c r="Q762" s="43" t="s">
        <v>624</v>
      </c>
      <c r="R762" s="43">
        <v>12</v>
      </c>
      <c r="S762" s="43" t="b">
        <v>0</v>
      </c>
      <c r="T762" s="43" t="b">
        <v>1</v>
      </c>
      <c r="U762" s="45">
        <f t="shared" si="11"/>
        <v>9.8999999999999986</v>
      </c>
      <c r="V762" s="45">
        <v>0</v>
      </c>
      <c r="W762" s="45">
        <v>9.8999999999999986</v>
      </c>
    </row>
    <row r="763" spans="4:23" x14ac:dyDescent="0.15">
      <c r="D763" s="40" t="s">
        <v>1476</v>
      </c>
      <c r="E763" s="40" t="s">
        <v>1505</v>
      </c>
      <c r="F763" s="40" t="s">
        <v>1506</v>
      </c>
      <c r="G763" s="40">
        <v>6</v>
      </c>
      <c r="H763" s="41">
        <v>40513.510416666657</v>
      </c>
      <c r="I763" s="40">
        <v>1.65</v>
      </c>
      <c r="J763" s="40">
        <v>15983</v>
      </c>
      <c r="K763" s="40" t="s">
        <v>71</v>
      </c>
      <c r="L763" s="42">
        <v>9.8999999999999986</v>
      </c>
      <c r="M763" s="40" t="s">
        <v>721</v>
      </c>
      <c r="N763" s="40">
        <v>2010</v>
      </c>
      <c r="O763" s="40" t="s">
        <v>83</v>
      </c>
      <c r="P763" s="40" t="s">
        <v>126</v>
      </c>
      <c r="Q763" s="40" t="s">
        <v>624</v>
      </c>
      <c r="R763" s="40">
        <v>12</v>
      </c>
      <c r="S763" s="40" t="b">
        <v>0</v>
      </c>
      <c r="T763" s="40" t="b">
        <v>1</v>
      </c>
      <c r="U763" s="42">
        <f t="shared" si="11"/>
        <v>9.8999999999999986</v>
      </c>
      <c r="V763" s="42">
        <v>0</v>
      </c>
      <c r="W763" s="42">
        <v>9.8999999999999986</v>
      </c>
    </row>
    <row r="764" spans="4:23" x14ac:dyDescent="0.15">
      <c r="D764" s="43" t="s">
        <v>1476</v>
      </c>
      <c r="E764" s="43" t="s">
        <v>1131</v>
      </c>
      <c r="F764" s="43" t="s">
        <v>1132</v>
      </c>
      <c r="G764" s="43">
        <v>10</v>
      </c>
      <c r="H764" s="44">
        <v>40513.510416666657</v>
      </c>
      <c r="I764" s="43">
        <v>2.95</v>
      </c>
      <c r="J764" s="43">
        <v>15983</v>
      </c>
      <c r="K764" s="43" t="s">
        <v>71</v>
      </c>
      <c r="L764" s="45">
        <v>29.5</v>
      </c>
      <c r="M764" s="43" t="s">
        <v>721</v>
      </c>
      <c r="N764" s="43">
        <v>2010</v>
      </c>
      <c r="O764" s="43" t="s">
        <v>83</v>
      </c>
      <c r="P764" s="43" t="s">
        <v>126</v>
      </c>
      <c r="Q764" s="43" t="s">
        <v>624</v>
      </c>
      <c r="R764" s="43">
        <v>12</v>
      </c>
      <c r="S764" s="43" t="b">
        <v>0</v>
      </c>
      <c r="T764" s="43" t="b">
        <v>1</v>
      </c>
      <c r="U764" s="45">
        <f t="shared" si="11"/>
        <v>29.5</v>
      </c>
      <c r="V764" s="45">
        <v>0</v>
      </c>
      <c r="W764" s="45">
        <v>29.5</v>
      </c>
    </row>
    <row r="765" spans="4:23" x14ac:dyDescent="0.15">
      <c r="D765" s="40" t="s">
        <v>1476</v>
      </c>
      <c r="E765" s="40" t="s">
        <v>1507</v>
      </c>
      <c r="F765" s="40" t="s">
        <v>1508</v>
      </c>
      <c r="G765" s="40">
        <v>2</v>
      </c>
      <c r="H765" s="41">
        <v>40513.510416666657</v>
      </c>
      <c r="I765" s="40">
        <v>9.9499999999999993</v>
      </c>
      <c r="J765" s="40">
        <v>15983</v>
      </c>
      <c r="K765" s="40" t="s">
        <v>71</v>
      </c>
      <c r="L765" s="42">
        <v>19.899999999999999</v>
      </c>
      <c r="M765" s="40" t="s">
        <v>721</v>
      </c>
      <c r="N765" s="40">
        <v>2010</v>
      </c>
      <c r="O765" s="40" t="s">
        <v>83</v>
      </c>
      <c r="P765" s="40" t="s">
        <v>126</v>
      </c>
      <c r="Q765" s="40" t="s">
        <v>624</v>
      </c>
      <c r="R765" s="40">
        <v>12</v>
      </c>
      <c r="S765" s="40" t="b">
        <v>0</v>
      </c>
      <c r="T765" s="40" t="b">
        <v>1</v>
      </c>
      <c r="U765" s="42">
        <f t="shared" si="11"/>
        <v>19.899999999999999</v>
      </c>
      <c r="V765" s="42">
        <v>0</v>
      </c>
      <c r="W765" s="42">
        <v>19.899999999999999</v>
      </c>
    </row>
    <row r="766" spans="4:23" x14ac:dyDescent="0.15">
      <c r="D766" s="43" t="s">
        <v>1476</v>
      </c>
      <c r="E766" s="43" t="s">
        <v>1509</v>
      </c>
      <c r="F766" s="43" t="s">
        <v>1510</v>
      </c>
      <c r="G766" s="43">
        <v>4</v>
      </c>
      <c r="H766" s="44">
        <v>40513.510416666657</v>
      </c>
      <c r="I766" s="43">
        <v>2.5499999999999998</v>
      </c>
      <c r="J766" s="43">
        <v>15983</v>
      </c>
      <c r="K766" s="43" t="s">
        <v>71</v>
      </c>
      <c r="L766" s="45">
        <v>10.199999999999999</v>
      </c>
      <c r="M766" s="43" t="s">
        <v>721</v>
      </c>
      <c r="N766" s="43">
        <v>2010</v>
      </c>
      <c r="O766" s="43" t="s">
        <v>83</v>
      </c>
      <c r="P766" s="43" t="s">
        <v>126</v>
      </c>
      <c r="Q766" s="43" t="s">
        <v>624</v>
      </c>
      <c r="R766" s="43">
        <v>12</v>
      </c>
      <c r="S766" s="43" t="b">
        <v>0</v>
      </c>
      <c r="T766" s="43" t="b">
        <v>1</v>
      </c>
      <c r="U766" s="45">
        <f t="shared" si="11"/>
        <v>10.199999999999999</v>
      </c>
      <c r="V766" s="45">
        <v>0</v>
      </c>
      <c r="W766" s="45">
        <v>10.199999999999999</v>
      </c>
    </row>
    <row r="767" spans="4:23" x14ac:dyDescent="0.15">
      <c r="D767" s="40" t="s">
        <v>1476</v>
      </c>
      <c r="E767" s="40" t="s">
        <v>1125</v>
      </c>
      <c r="F767" s="40" t="s">
        <v>1126</v>
      </c>
      <c r="G767" s="40">
        <v>4</v>
      </c>
      <c r="H767" s="41">
        <v>40513.510416666657</v>
      </c>
      <c r="I767" s="40">
        <v>2.5499999999999998</v>
      </c>
      <c r="J767" s="40">
        <v>15983</v>
      </c>
      <c r="K767" s="40" t="s">
        <v>71</v>
      </c>
      <c r="L767" s="42">
        <v>10.199999999999999</v>
      </c>
      <c r="M767" s="40" t="s">
        <v>721</v>
      </c>
      <c r="N767" s="40">
        <v>2010</v>
      </c>
      <c r="O767" s="40" t="s">
        <v>83</v>
      </c>
      <c r="P767" s="40" t="s">
        <v>126</v>
      </c>
      <c r="Q767" s="40" t="s">
        <v>624</v>
      </c>
      <c r="R767" s="40">
        <v>12</v>
      </c>
      <c r="S767" s="40" t="b">
        <v>0</v>
      </c>
      <c r="T767" s="40" t="b">
        <v>1</v>
      </c>
      <c r="U767" s="42">
        <f t="shared" si="11"/>
        <v>10.199999999999999</v>
      </c>
      <c r="V767" s="42">
        <v>0</v>
      </c>
      <c r="W767" s="42">
        <v>10.199999999999999</v>
      </c>
    </row>
    <row r="768" spans="4:23" x14ac:dyDescent="0.15">
      <c r="D768" s="43" t="s">
        <v>1476</v>
      </c>
      <c r="E768" s="43" t="s">
        <v>1511</v>
      </c>
      <c r="F768" s="43" t="s">
        <v>1512</v>
      </c>
      <c r="G768" s="43">
        <v>24</v>
      </c>
      <c r="H768" s="44">
        <v>40513.510416666657</v>
      </c>
      <c r="I768" s="43">
        <v>0.42</v>
      </c>
      <c r="J768" s="43">
        <v>15983</v>
      </c>
      <c r="K768" s="43" t="s">
        <v>71</v>
      </c>
      <c r="L768" s="45">
        <v>10.08</v>
      </c>
      <c r="M768" s="43" t="s">
        <v>721</v>
      </c>
      <c r="N768" s="43">
        <v>2010</v>
      </c>
      <c r="O768" s="43" t="s">
        <v>83</v>
      </c>
      <c r="P768" s="43" t="s">
        <v>126</v>
      </c>
      <c r="Q768" s="43" t="s">
        <v>624</v>
      </c>
      <c r="R768" s="43">
        <v>12</v>
      </c>
      <c r="S768" s="43" t="b">
        <v>0</v>
      </c>
      <c r="T768" s="43" t="b">
        <v>1</v>
      </c>
      <c r="U768" s="45">
        <f t="shared" si="11"/>
        <v>10.08</v>
      </c>
      <c r="V768" s="45">
        <v>0</v>
      </c>
      <c r="W768" s="45">
        <v>10.08</v>
      </c>
    </row>
    <row r="769" spans="4:23" x14ac:dyDescent="0.15">
      <c r="D769" s="40" t="s">
        <v>1476</v>
      </c>
      <c r="E769" s="40" t="s">
        <v>1477</v>
      </c>
      <c r="F769" s="40" t="s">
        <v>1478</v>
      </c>
      <c r="G769" s="40">
        <v>16</v>
      </c>
      <c r="H769" s="41">
        <v>40513.510416666657</v>
      </c>
      <c r="I769" s="40">
        <v>0.42</v>
      </c>
      <c r="J769" s="40">
        <v>15983</v>
      </c>
      <c r="K769" s="40" t="s">
        <v>71</v>
      </c>
      <c r="L769" s="42">
        <v>6.72</v>
      </c>
      <c r="M769" s="40" t="s">
        <v>721</v>
      </c>
      <c r="N769" s="40">
        <v>2010</v>
      </c>
      <c r="O769" s="40" t="s">
        <v>83</v>
      </c>
      <c r="P769" s="40" t="s">
        <v>126</v>
      </c>
      <c r="Q769" s="40" t="s">
        <v>624</v>
      </c>
      <c r="R769" s="40">
        <v>12</v>
      </c>
      <c r="S769" s="40" t="b">
        <v>0</v>
      </c>
      <c r="T769" s="40" t="b">
        <v>1</v>
      </c>
      <c r="U769" s="42">
        <f t="shared" si="11"/>
        <v>6.72</v>
      </c>
      <c r="V769" s="42">
        <v>0</v>
      </c>
      <c r="W769" s="42">
        <v>6.72</v>
      </c>
    </row>
    <row r="770" spans="4:23" x14ac:dyDescent="0.15">
      <c r="D770" s="43" t="s">
        <v>1476</v>
      </c>
      <c r="E770" s="43" t="s">
        <v>1513</v>
      </c>
      <c r="F770" s="43" t="s">
        <v>1514</v>
      </c>
      <c r="G770" s="43">
        <v>24</v>
      </c>
      <c r="H770" s="44">
        <v>40513.510416666657</v>
      </c>
      <c r="I770" s="43">
        <v>1.25</v>
      </c>
      <c r="J770" s="43">
        <v>15983</v>
      </c>
      <c r="K770" s="43" t="s">
        <v>71</v>
      </c>
      <c r="L770" s="45">
        <v>30</v>
      </c>
      <c r="M770" s="43" t="s">
        <v>721</v>
      </c>
      <c r="N770" s="43">
        <v>2010</v>
      </c>
      <c r="O770" s="43" t="s">
        <v>83</v>
      </c>
      <c r="P770" s="43" t="s">
        <v>126</v>
      </c>
      <c r="Q770" s="43" t="s">
        <v>624</v>
      </c>
      <c r="R770" s="43">
        <v>12</v>
      </c>
      <c r="S770" s="43" t="b">
        <v>0</v>
      </c>
      <c r="T770" s="43" t="b">
        <v>1</v>
      </c>
      <c r="U770" s="45">
        <f t="shared" si="11"/>
        <v>30</v>
      </c>
      <c r="V770" s="45">
        <v>0</v>
      </c>
      <c r="W770" s="45">
        <v>30</v>
      </c>
    </row>
    <row r="771" spans="4:23" x14ac:dyDescent="0.15">
      <c r="D771" s="40" t="s">
        <v>1515</v>
      </c>
      <c r="E771" s="40" t="s">
        <v>1516</v>
      </c>
      <c r="F771" s="40" t="s">
        <v>1517</v>
      </c>
      <c r="G771" s="40">
        <v>12</v>
      </c>
      <c r="H771" s="41">
        <v>40513.515277777777</v>
      </c>
      <c r="I771" s="40">
        <v>1.25</v>
      </c>
      <c r="J771" s="40">
        <v>14849</v>
      </c>
      <c r="K771" s="40" t="s">
        <v>71</v>
      </c>
      <c r="L771" s="42">
        <v>15</v>
      </c>
      <c r="M771" s="40" t="s">
        <v>721</v>
      </c>
      <c r="N771" s="40">
        <v>2010</v>
      </c>
      <c r="O771" s="40" t="s">
        <v>83</v>
      </c>
      <c r="P771" s="40" t="s">
        <v>126</v>
      </c>
      <c r="Q771" s="40" t="s">
        <v>624</v>
      </c>
      <c r="R771" s="40">
        <v>12</v>
      </c>
      <c r="S771" s="40" t="b">
        <v>0</v>
      </c>
      <c r="T771" s="40" t="b">
        <v>1</v>
      </c>
      <c r="U771" s="42">
        <f t="shared" si="11"/>
        <v>15</v>
      </c>
      <c r="V771" s="42">
        <v>0</v>
      </c>
      <c r="W771" s="42">
        <v>15</v>
      </c>
    </row>
    <row r="772" spans="4:23" x14ac:dyDescent="0.15">
      <c r="D772" s="43" t="s">
        <v>1515</v>
      </c>
      <c r="E772" s="43" t="s">
        <v>1509</v>
      </c>
      <c r="F772" s="43" t="s">
        <v>1510</v>
      </c>
      <c r="G772" s="43">
        <v>12</v>
      </c>
      <c r="H772" s="44">
        <v>40513.515277777777</v>
      </c>
      <c r="I772" s="43">
        <v>2.5499999999999998</v>
      </c>
      <c r="J772" s="43">
        <v>14849</v>
      </c>
      <c r="K772" s="43" t="s">
        <v>71</v>
      </c>
      <c r="L772" s="45">
        <v>30.6</v>
      </c>
      <c r="M772" s="43" t="s">
        <v>721</v>
      </c>
      <c r="N772" s="43">
        <v>2010</v>
      </c>
      <c r="O772" s="43" t="s">
        <v>83</v>
      </c>
      <c r="P772" s="43" t="s">
        <v>126</v>
      </c>
      <c r="Q772" s="43" t="s">
        <v>624</v>
      </c>
      <c r="R772" s="43">
        <v>12</v>
      </c>
      <c r="S772" s="43" t="b">
        <v>0</v>
      </c>
      <c r="T772" s="43" t="b">
        <v>1</v>
      </c>
      <c r="U772" s="45">
        <f t="shared" si="11"/>
        <v>30.6</v>
      </c>
      <c r="V772" s="45">
        <v>0</v>
      </c>
      <c r="W772" s="45">
        <v>30.6</v>
      </c>
    </row>
    <row r="773" spans="4:23" x14ac:dyDescent="0.15">
      <c r="D773" s="40" t="s">
        <v>1515</v>
      </c>
      <c r="E773" s="40" t="s">
        <v>1178</v>
      </c>
      <c r="F773" s="40" t="s">
        <v>1179</v>
      </c>
      <c r="G773" s="40">
        <v>24</v>
      </c>
      <c r="H773" s="41">
        <v>40513.515277777777</v>
      </c>
      <c r="I773" s="40">
        <v>0.55000000000000004</v>
      </c>
      <c r="J773" s="40">
        <v>14849</v>
      </c>
      <c r="K773" s="40" t="s">
        <v>71</v>
      </c>
      <c r="L773" s="42">
        <v>13.2</v>
      </c>
      <c r="M773" s="40" t="s">
        <v>721</v>
      </c>
      <c r="N773" s="40">
        <v>2010</v>
      </c>
      <c r="O773" s="40" t="s">
        <v>83</v>
      </c>
      <c r="P773" s="40" t="s">
        <v>126</v>
      </c>
      <c r="Q773" s="40" t="s">
        <v>624</v>
      </c>
      <c r="R773" s="40">
        <v>12</v>
      </c>
      <c r="S773" s="40" t="b">
        <v>0</v>
      </c>
      <c r="T773" s="40" t="b">
        <v>1</v>
      </c>
      <c r="U773" s="42">
        <f t="shared" ref="U773:U836" si="12">IF(T773,L773,0)</f>
        <v>13.2</v>
      </c>
      <c r="V773" s="42">
        <v>0</v>
      </c>
      <c r="W773" s="42">
        <v>13.2</v>
      </c>
    </row>
    <row r="774" spans="4:23" x14ac:dyDescent="0.15">
      <c r="D774" s="43" t="s">
        <v>1515</v>
      </c>
      <c r="E774" s="43" t="s">
        <v>177</v>
      </c>
      <c r="F774" s="43" t="s">
        <v>178</v>
      </c>
      <c r="G774" s="43">
        <v>24</v>
      </c>
      <c r="H774" s="44">
        <v>40513.515277777777</v>
      </c>
      <c r="I774" s="43">
        <v>1.69</v>
      </c>
      <c r="J774" s="43">
        <v>14849</v>
      </c>
      <c r="K774" s="43" t="s">
        <v>71</v>
      </c>
      <c r="L774" s="45">
        <v>40.56</v>
      </c>
      <c r="M774" s="43" t="s">
        <v>721</v>
      </c>
      <c r="N774" s="43">
        <v>2010</v>
      </c>
      <c r="O774" s="43" t="s">
        <v>83</v>
      </c>
      <c r="P774" s="43" t="s">
        <v>126</v>
      </c>
      <c r="Q774" s="43" t="s">
        <v>624</v>
      </c>
      <c r="R774" s="43">
        <v>12</v>
      </c>
      <c r="S774" s="43" t="b">
        <v>0</v>
      </c>
      <c r="T774" s="43" t="b">
        <v>1</v>
      </c>
      <c r="U774" s="45">
        <f t="shared" si="12"/>
        <v>40.56</v>
      </c>
      <c r="V774" s="45">
        <v>0</v>
      </c>
      <c r="W774" s="45">
        <v>40.56</v>
      </c>
    </row>
    <row r="775" spans="4:23" x14ac:dyDescent="0.15">
      <c r="D775" s="40" t="s">
        <v>1515</v>
      </c>
      <c r="E775" s="40" t="s">
        <v>1518</v>
      </c>
      <c r="F775" s="40" t="s">
        <v>1519</v>
      </c>
      <c r="G775" s="40">
        <v>12</v>
      </c>
      <c r="H775" s="41">
        <v>40513.515277777777</v>
      </c>
      <c r="I775" s="40">
        <v>1.69</v>
      </c>
      <c r="J775" s="40">
        <v>14849</v>
      </c>
      <c r="K775" s="40" t="s">
        <v>71</v>
      </c>
      <c r="L775" s="42">
        <v>20.28</v>
      </c>
      <c r="M775" s="40" t="s">
        <v>721</v>
      </c>
      <c r="N775" s="40">
        <v>2010</v>
      </c>
      <c r="O775" s="40" t="s">
        <v>83</v>
      </c>
      <c r="P775" s="40" t="s">
        <v>126</v>
      </c>
      <c r="Q775" s="40" t="s">
        <v>624</v>
      </c>
      <c r="R775" s="40">
        <v>12</v>
      </c>
      <c r="S775" s="40" t="b">
        <v>0</v>
      </c>
      <c r="T775" s="40" t="b">
        <v>1</v>
      </c>
      <c r="U775" s="42">
        <f t="shared" si="12"/>
        <v>20.28</v>
      </c>
      <c r="V775" s="42">
        <v>0</v>
      </c>
      <c r="W775" s="42">
        <v>20.28</v>
      </c>
    </row>
    <row r="776" spans="4:23" x14ac:dyDescent="0.15">
      <c r="D776" s="43" t="s">
        <v>1515</v>
      </c>
      <c r="E776" s="43" t="s">
        <v>1520</v>
      </c>
      <c r="F776" s="43" t="s">
        <v>1521</v>
      </c>
      <c r="G776" s="43">
        <v>2</v>
      </c>
      <c r="H776" s="44">
        <v>40513.515277777777</v>
      </c>
      <c r="I776" s="43">
        <v>5.95</v>
      </c>
      <c r="J776" s="43">
        <v>14849</v>
      </c>
      <c r="K776" s="43" t="s">
        <v>71</v>
      </c>
      <c r="L776" s="45">
        <v>11.9</v>
      </c>
      <c r="M776" s="43" t="s">
        <v>721</v>
      </c>
      <c r="N776" s="43">
        <v>2010</v>
      </c>
      <c r="O776" s="43" t="s">
        <v>83</v>
      </c>
      <c r="P776" s="43" t="s">
        <v>126</v>
      </c>
      <c r="Q776" s="43" t="s">
        <v>624</v>
      </c>
      <c r="R776" s="43">
        <v>12</v>
      </c>
      <c r="S776" s="43" t="b">
        <v>0</v>
      </c>
      <c r="T776" s="43" t="b">
        <v>1</v>
      </c>
      <c r="U776" s="45">
        <f t="shared" si="12"/>
        <v>11.9</v>
      </c>
      <c r="V776" s="45">
        <v>0</v>
      </c>
      <c r="W776" s="45">
        <v>11.9</v>
      </c>
    </row>
    <row r="777" spans="4:23" x14ac:dyDescent="0.15">
      <c r="D777" s="40" t="s">
        <v>1515</v>
      </c>
      <c r="E777" s="40" t="s">
        <v>883</v>
      </c>
      <c r="F777" s="40" t="s">
        <v>884</v>
      </c>
      <c r="G777" s="40">
        <v>4</v>
      </c>
      <c r="H777" s="41">
        <v>40513.515277777777</v>
      </c>
      <c r="I777" s="40">
        <v>5.95</v>
      </c>
      <c r="J777" s="40">
        <v>14849</v>
      </c>
      <c r="K777" s="40" t="s">
        <v>71</v>
      </c>
      <c r="L777" s="42">
        <v>23.8</v>
      </c>
      <c r="M777" s="40" t="s">
        <v>721</v>
      </c>
      <c r="N777" s="40">
        <v>2010</v>
      </c>
      <c r="O777" s="40" t="s">
        <v>83</v>
      </c>
      <c r="P777" s="40" t="s">
        <v>126</v>
      </c>
      <c r="Q777" s="40" t="s">
        <v>624</v>
      </c>
      <c r="R777" s="40">
        <v>12</v>
      </c>
      <c r="S777" s="40" t="b">
        <v>0</v>
      </c>
      <c r="T777" s="40" t="b">
        <v>1</v>
      </c>
      <c r="U777" s="42">
        <f t="shared" si="12"/>
        <v>23.8</v>
      </c>
      <c r="V777" s="42">
        <v>0</v>
      </c>
      <c r="W777" s="42">
        <v>23.8</v>
      </c>
    </row>
    <row r="778" spans="4:23" x14ac:dyDescent="0.15">
      <c r="D778" s="43" t="s">
        <v>1515</v>
      </c>
      <c r="E778" s="43" t="s">
        <v>1522</v>
      </c>
      <c r="F778" s="43" t="s">
        <v>1523</v>
      </c>
      <c r="G778" s="43">
        <v>2</v>
      </c>
      <c r="H778" s="44">
        <v>40513.515277777777</v>
      </c>
      <c r="I778" s="43">
        <v>5.95</v>
      </c>
      <c r="J778" s="43">
        <v>14849</v>
      </c>
      <c r="K778" s="43" t="s">
        <v>71</v>
      </c>
      <c r="L778" s="45">
        <v>11.9</v>
      </c>
      <c r="M778" s="43" t="s">
        <v>721</v>
      </c>
      <c r="N778" s="43">
        <v>2010</v>
      </c>
      <c r="O778" s="43" t="s">
        <v>83</v>
      </c>
      <c r="P778" s="43" t="s">
        <v>126</v>
      </c>
      <c r="Q778" s="43" t="s">
        <v>624</v>
      </c>
      <c r="R778" s="43">
        <v>12</v>
      </c>
      <c r="S778" s="43" t="b">
        <v>0</v>
      </c>
      <c r="T778" s="43" t="b">
        <v>1</v>
      </c>
      <c r="U778" s="45">
        <f t="shared" si="12"/>
        <v>11.9</v>
      </c>
      <c r="V778" s="45">
        <v>0</v>
      </c>
      <c r="W778" s="45">
        <v>11.9</v>
      </c>
    </row>
    <row r="779" spans="4:23" x14ac:dyDescent="0.15">
      <c r="D779" s="40" t="s">
        <v>1515</v>
      </c>
      <c r="E779" s="40" t="s">
        <v>499</v>
      </c>
      <c r="F779" s="40" t="s">
        <v>500</v>
      </c>
      <c r="G779" s="40">
        <v>24</v>
      </c>
      <c r="H779" s="41">
        <v>40513.515277777777</v>
      </c>
      <c r="I779" s="40">
        <v>0.55000000000000004</v>
      </c>
      <c r="J779" s="40">
        <v>14849</v>
      </c>
      <c r="K779" s="40" t="s">
        <v>71</v>
      </c>
      <c r="L779" s="42">
        <v>13.2</v>
      </c>
      <c r="M779" s="40" t="s">
        <v>721</v>
      </c>
      <c r="N779" s="40">
        <v>2010</v>
      </c>
      <c r="O779" s="40" t="s">
        <v>83</v>
      </c>
      <c r="P779" s="40" t="s">
        <v>126</v>
      </c>
      <c r="Q779" s="40" t="s">
        <v>624</v>
      </c>
      <c r="R779" s="40">
        <v>12</v>
      </c>
      <c r="S779" s="40" t="b">
        <v>0</v>
      </c>
      <c r="T779" s="40" t="b">
        <v>1</v>
      </c>
      <c r="U779" s="42">
        <f t="shared" si="12"/>
        <v>13.2</v>
      </c>
      <c r="V779" s="42">
        <v>0</v>
      </c>
      <c r="W779" s="42">
        <v>13.2</v>
      </c>
    </row>
    <row r="780" spans="4:23" x14ac:dyDescent="0.15">
      <c r="D780" s="43" t="s">
        <v>1515</v>
      </c>
      <c r="E780" s="43" t="s">
        <v>363</v>
      </c>
      <c r="F780" s="43" t="s">
        <v>364</v>
      </c>
      <c r="G780" s="43">
        <v>6</v>
      </c>
      <c r="H780" s="44">
        <v>40513.515277777777</v>
      </c>
      <c r="I780" s="43">
        <v>4.95</v>
      </c>
      <c r="J780" s="43">
        <v>14849</v>
      </c>
      <c r="K780" s="43" t="s">
        <v>71</v>
      </c>
      <c r="L780" s="45">
        <v>29.7</v>
      </c>
      <c r="M780" s="43" t="s">
        <v>721</v>
      </c>
      <c r="N780" s="43">
        <v>2010</v>
      </c>
      <c r="O780" s="43" t="s">
        <v>83</v>
      </c>
      <c r="P780" s="43" t="s">
        <v>126</v>
      </c>
      <c r="Q780" s="43" t="s">
        <v>624</v>
      </c>
      <c r="R780" s="43">
        <v>12</v>
      </c>
      <c r="S780" s="43" t="b">
        <v>0</v>
      </c>
      <c r="T780" s="43" t="b">
        <v>1</v>
      </c>
      <c r="U780" s="45">
        <f t="shared" si="12"/>
        <v>29.7</v>
      </c>
      <c r="V780" s="45">
        <v>0</v>
      </c>
      <c r="W780" s="45">
        <v>29.7</v>
      </c>
    </row>
    <row r="781" spans="4:23" x14ac:dyDescent="0.15">
      <c r="D781" s="40" t="s">
        <v>1515</v>
      </c>
      <c r="E781" s="40" t="s">
        <v>988</v>
      </c>
      <c r="F781" s="40" t="s">
        <v>989</v>
      </c>
      <c r="G781" s="40">
        <v>8</v>
      </c>
      <c r="H781" s="41">
        <v>40513.515277777777</v>
      </c>
      <c r="I781" s="40">
        <v>3.45</v>
      </c>
      <c r="J781" s="40">
        <v>14849</v>
      </c>
      <c r="K781" s="40" t="s">
        <v>71</v>
      </c>
      <c r="L781" s="42">
        <v>27.6</v>
      </c>
      <c r="M781" s="40" t="s">
        <v>721</v>
      </c>
      <c r="N781" s="40">
        <v>2010</v>
      </c>
      <c r="O781" s="40" t="s">
        <v>83</v>
      </c>
      <c r="P781" s="40" t="s">
        <v>126</v>
      </c>
      <c r="Q781" s="40" t="s">
        <v>624</v>
      </c>
      <c r="R781" s="40">
        <v>12</v>
      </c>
      <c r="S781" s="40" t="b">
        <v>0</v>
      </c>
      <c r="T781" s="40" t="b">
        <v>1</v>
      </c>
      <c r="U781" s="42">
        <f t="shared" si="12"/>
        <v>27.6</v>
      </c>
      <c r="V781" s="42">
        <v>0</v>
      </c>
      <c r="W781" s="42">
        <v>27.6</v>
      </c>
    </row>
    <row r="782" spans="4:23" x14ac:dyDescent="0.15">
      <c r="D782" s="43" t="s">
        <v>1515</v>
      </c>
      <c r="E782" s="43" t="s">
        <v>1524</v>
      </c>
      <c r="F782" s="43" t="s">
        <v>1525</v>
      </c>
      <c r="G782" s="43">
        <v>2</v>
      </c>
      <c r="H782" s="44">
        <v>40513.515277777777</v>
      </c>
      <c r="I782" s="43">
        <v>5.95</v>
      </c>
      <c r="J782" s="43">
        <v>14849</v>
      </c>
      <c r="K782" s="43" t="s">
        <v>71</v>
      </c>
      <c r="L782" s="45">
        <v>11.9</v>
      </c>
      <c r="M782" s="43" t="s">
        <v>721</v>
      </c>
      <c r="N782" s="43">
        <v>2010</v>
      </c>
      <c r="O782" s="43" t="s">
        <v>83</v>
      </c>
      <c r="P782" s="43" t="s">
        <v>126</v>
      </c>
      <c r="Q782" s="43" t="s">
        <v>624</v>
      </c>
      <c r="R782" s="43">
        <v>12</v>
      </c>
      <c r="S782" s="43" t="b">
        <v>0</v>
      </c>
      <c r="T782" s="43" t="b">
        <v>1</v>
      </c>
      <c r="U782" s="45">
        <f t="shared" si="12"/>
        <v>11.9</v>
      </c>
      <c r="V782" s="45">
        <v>0</v>
      </c>
      <c r="W782" s="45">
        <v>11.9</v>
      </c>
    </row>
    <row r="783" spans="4:23" x14ac:dyDescent="0.15">
      <c r="D783" s="40" t="s">
        <v>1515</v>
      </c>
      <c r="E783" s="40" t="s">
        <v>1526</v>
      </c>
      <c r="F783" s="40" t="s">
        <v>1527</v>
      </c>
      <c r="G783" s="40">
        <v>2</v>
      </c>
      <c r="H783" s="41">
        <v>40513.515277777777</v>
      </c>
      <c r="I783" s="40">
        <v>7.95</v>
      </c>
      <c r="J783" s="40">
        <v>14849</v>
      </c>
      <c r="K783" s="40" t="s">
        <v>71</v>
      </c>
      <c r="L783" s="42">
        <v>15.9</v>
      </c>
      <c r="M783" s="40" t="s">
        <v>721</v>
      </c>
      <c r="N783" s="40">
        <v>2010</v>
      </c>
      <c r="O783" s="40" t="s">
        <v>83</v>
      </c>
      <c r="P783" s="40" t="s">
        <v>126</v>
      </c>
      <c r="Q783" s="40" t="s">
        <v>624</v>
      </c>
      <c r="R783" s="40">
        <v>12</v>
      </c>
      <c r="S783" s="40" t="b">
        <v>0</v>
      </c>
      <c r="T783" s="40" t="b">
        <v>1</v>
      </c>
      <c r="U783" s="42">
        <f t="shared" si="12"/>
        <v>15.9</v>
      </c>
      <c r="V783" s="42">
        <v>0</v>
      </c>
      <c r="W783" s="42">
        <v>15.9</v>
      </c>
    </row>
    <row r="784" spans="4:23" x14ac:dyDescent="0.15">
      <c r="D784" s="43" t="s">
        <v>1515</v>
      </c>
      <c r="E784" s="43" t="s">
        <v>1528</v>
      </c>
      <c r="F784" s="43" t="s">
        <v>1529</v>
      </c>
      <c r="G784" s="43">
        <v>24</v>
      </c>
      <c r="H784" s="44">
        <v>40513.515277777777</v>
      </c>
      <c r="I784" s="43">
        <v>1.25</v>
      </c>
      <c r="J784" s="43">
        <v>14849</v>
      </c>
      <c r="K784" s="43" t="s">
        <v>71</v>
      </c>
      <c r="L784" s="45">
        <v>30</v>
      </c>
      <c r="M784" s="43" t="s">
        <v>721</v>
      </c>
      <c r="N784" s="43">
        <v>2010</v>
      </c>
      <c r="O784" s="43" t="s">
        <v>83</v>
      </c>
      <c r="P784" s="43" t="s">
        <v>126</v>
      </c>
      <c r="Q784" s="43" t="s">
        <v>624</v>
      </c>
      <c r="R784" s="43">
        <v>12</v>
      </c>
      <c r="S784" s="43" t="b">
        <v>0</v>
      </c>
      <c r="T784" s="43" t="b">
        <v>1</v>
      </c>
      <c r="U784" s="45">
        <f t="shared" si="12"/>
        <v>30</v>
      </c>
      <c r="V784" s="45">
        <v>0</v>
      </c>
      <c r="W784" s="45">
        <v>30</v>
      </c>
    </row>
    <row r="785" spans="4:23" x14ac:dyDescent="0.15">
      <c r="D785" s="40" t="s">
        <v>1530</v>
      </c>
      <c r="E785" s="40" t="s">
        <v>1531</v>
      </c>
      <c r="F785" s="40" t="s">
        <v>1532</v>
      </c>
      <c r="G785" s="40">
        <v>12</v>
      </c>
      <c r="H785" s="41">
        <v>40513.515277777777</v>
      </c>
      <c r="I785" s="40">
        <v>1.45</v>
      </c>
      <c r="J785" s="40">
        <v>14849</v>
      </c>
      <c r="K785" s="40" t="s">
        <v>71</v>
      </c>
      <c r="L785" s="42">
        <v>17.399999999999999</v>
      </c>
      <c r="M785" s="40" t="s">
        <v>721</v>
      </c>
      <c r="N785" s="40">
        <v>2010</v>
      </c>
      <c r="O785" s="40" t="s">
        <v>83</v>
      </c>
      <c r="P785" s="40" t="s">
        <v>126</v>
      </c>
      <c r="Q785" s="40" t="s">
        <v>624</v>
      </c>
      <c r="R785" s="40">
        <v>12</v>
      </c>
      <c r="S785" s="40" t="b">
        <v>0</v>
      </c>
      <c r="T785" s="40" t="b">
        <v>1</v>
      </c>
      <c r="U785" s="42">
        <f t="shared" si="12"/>
        <v>17.399999999999999</v>
      </c>
      <c r="V785" s="42">
        <v>0</v>
      </c>
      <c r="W785" s="42">
        <v>17.399999999999999</v>
      </c>
    </row>
    <row r="786" spans="4:23" x14ac:dyDescent="0.15">
      <c r="D786" s="43" t="s">
        <v>1533</v>
      </c>
      <c r="E786" s="43" t="s">
        <v>1534</v>
      </c>
      <c r="F786" s="43" t="s">
        <v>1535</v>
      </c>
      <c r="G786" s="43">
        <v>2</v>
      </c>
      <c r="H786" s="44">
        <v>40513.515972222223</v>
      </c>
      <c r="I786" s="43">
        <v>4.25</v>
      </c>
      <c r="J786" s="43">
        <v>17968</v>
      </c>
      <c r="K786" s="43" t="s">
        <v>71</v>
      </c>
      <c r="L786" s="45">
        <v>8.5</v>
      </c>
      <c r="M786" s="43" t="s">
        <v>721</v>
      </c>
      <c r="N786" s="43">
        <v>2010</v>
      </c>
      <c r="O786" s="43" t="s">
        <v>83</v>
      </c>
      <c r="P786" s="43" t="s">
        <v>126</v>
      </c>
      <c r="Q786" s="43" t="s">
        <v>624</v>
      </c>
      <c r="R786" s="43">
        <v>12</v>
      </c>
      <c r="S786" s="43" t="b">
        <v>0</v>
      </c>
      <c r="T786" s="43" t="b">
        <v>1</v>
      </c>
      <c r="U786" s="45">
        <f t="shared" si="12"/>
        <v>8.5</v>
      </c>
      <c r="V786" s="45">
        <v>0</v>
      </c>
      <c r="W786" s="45">
        <v>8.5</v>
      </c>
    </row>
    <row r="787" spans="4:23" x14ac:dyDescent="0.15">
      <c r="D787" s="40" t="s">
        <v>1533</v>
      </c>
      <c r="E787" s="40" t="s">
        <v>1536</v>
      </c>
      <c r="F787" s="40" t="s">
        <v>1537</v>
      </c>
      <c r="G787" s="40">
        <v>2</v>
      </c>
      <c r="H787" s="41">
        <v>40513.515972222223</v>
      </c>
      <c r="I787" s="40">
        <v>1.65</v>
      </c>
      <c r="J787" s="40">
        <v>17968</v>
      </c>
      <c r="K787" s="40" t="s">
        <v>71</v>
      </c>
      <c r="L787" s="42">
        <v>3.3</v>
      </c>
      <c r="M787" s="40" t="s">
        <v>721</v>
      </c>
      <c r="N787" s="40">
        <v>2010</v>
      </c>
      <c r="O787" s="40" t="s">
        <v>83</v>
      </c>
      <c r="P787" s="40" t="s">
        <v>126</v>
      </c>
      <c r="Q787" s="40" t="s">
        <v>624</v>
      </c>
      <c r="R787" s="40">
        <v>12</v>
      </c>
      <c r="S787" s="40" t="b">
        <v>0</v>
      </c>
      <c r="T787" s="40" t="b">
        <v>1</v>
      </c>
      <c r="U787" s="42">
        <f t="shared" si="12"/>
        <v>3.3</v>
      </c>
      <c r="V787" s="42">
        <v>0</v>
      </c>
      <c r="W787" s="42">
        <v>3.3</v>
      </c>
    </row>
    <row r="788" spans="4:23" x14ac:dyDescent="0.15">
      <c r="D788" s="43" t="s">
        <v>1533</v>
      </c>
      <c r="E788" s="43" t="s">
        <v>1538</v>
      </c>
      <c r="F788" s="43" t="s">
        <v>1539</v>
      </c>
      <c r="G788" s="43">
        <v>2</v>
      </c>
      <c r="H788" s="44">
        <v>40513.515972222223</v>
      </c>
      <c r="I788" s="43">
        <v>4.25</v>
      </c>
      <c r="J788" s="43">
        <v>17968</v>
      </c>
      <c r="K788" s="43" t="s">
        <v>71</v>
      </c>
      <c r="L788" s="45">
        <v>8.5</v>
      </c>
      <c r="M788" s="43" t="s">
        <v>721</v>
      </c>
      <c r="N788" s="43">
        <v>2010</v>
      </c>
      <c r="O788" s="43" t="s">
        <v>83</v>
      </c>
      <c r="P788" s="43" t="s">
        <v>126</v>
      </c>
      <c r="Q788" s="43" t="s">
        <v>624</v>
      </c>
      <c r="R788" s="43">
        <v>12</v>
      </c>
      <c r="S788" s="43" t="b">
        <v>0</v>
      </c>
      <c r="T788" s="43" t="b">
        <v>1</v>
      </c>
      <c r="U788" s="45">
        <f t="shared" si="12"/>
        <v>8.5</v>
      </c>
      <c r="V788" s="45">
        <v>0</v>
      </c>
      <c r="W788" s="45">
        <v>8.5</v>
      </c>
    </row>
    <row r="789" spans="4:23" x14ac:dyDescent="0.15">
      <c r="D789" s="40" t="s">
        <v>1533</v>
      </c>
      <c r="E789" s="40" t="s">
        <v>1540</v>
      </c>
      <c r="F789" s="40" t="s">
        <v>1541</v>
      </c>
      <c r="G789" s="40">
        <v>3</v>
      </c>
      <c r="H789" s="41">
        <v>40513.515972222223</v>
      </c>
      <c r="I789" s="40">
        <v>1.65</v>
      </c>
      <c r="J789" s="40">
        <v>17968</v>
      </c>
      <c r="K789" s="40" t="s">
        <v>71</v>
      </c>
      <c r="L789" s="42">
        <v>4.9499999999999993</v>
      </c>
      <c r="M789" s="40" t="s">
        <v>721</v>
      </c>
      <c r="N789" s="40">
        <v>2010</v>
      </c>
      <c r="O789" s="40" t="s">
        <v>83</v>
      </c>
      <c r="P789" s="40" t="s">
        <v>126</v>
      </c>
      <c r="Q789" s="40" t="s">
        <v>624</v>
      </c>
      <c r="R789" s="40">
        <v>12</v>
      </c>
      <c r="S789" s="40" t="b">
        <v>0</v>
      </c>
      <c r="T789" s="40" t="b">
        <v>1</v>
      </c>
      <c r="U789" s="42">
        <f t="shared" si="12"/>
        <v>4.9499999999999993</v>
      </c>
      <c r="V789" s="42">
        <v>0</v>
      </c>
      <c r="W789" s="42">
        <v>4.9499999999999993</v>
      </c>
    </row>
    <row r="790" spans="4:23" x14ac:dyDescent="0.15">
      <c r="D790" s="43" t="s">
        <v>1533</v>
      </c>
      <c r="E790" s="43" t="s">
        <v>1542</v>
      </c>
      <c r="F790" s="43" t="s">
        <v>1543</v>
      </c>
      <c r="G790" s="43">
        <v>1</v>
      </c>
      <c r="H790" s="44">
        <v>40513.515972222223</v>
      </c>
      <c r="I790" s="43">
        <v>1.65</v>
      </c>
      <c r="J790" s="43">
        <v>17968</v>
      </c>
      <c r="K790" s="43" t="s">
        <v>71</v>
      </c>
      <c r="L790" s="45">
        <v>1.65</v>
      </c>
      <c r="M790" s="43" t="s">
        <v>721</v>
      </c>
      <c r="N790" s="43">
        <v>2010</v>
      </c>
      <c r="O790" s="43" t="s">
        <v>83</v>
      </c>
      <c r="P790" s="43" t="s">
        <v>126</v>
      </c>
      <c r="Q790" s="43" t="s">
        <v>624</v>
      </c>
      <c r="R790" s="43">
        <v>12</v>
      </c>
      <c r="S790" s="43" t="b">
        <v>0</v>
      </c>
      <c r="T790" s="43" t="b">
        <v>1</v>
      </c>
      <c r="U790" s="45">
        <f t="shared" si="12"/>
        <v>1.65</v>
      </c>
      <c r="V790" s="45">
        <v>0</v>
      </c>
      <c r="W790" s="45">
        <v>1.65</v>
      </c>
    </row>
    <row r="791" spans="4:23" x14ac:dyDescent="0.15">
      <c r="D791" s="40" t="s">
        <v>1533</v>
      </c>
      <c r="E791" s="40" t="s">
        <v>1544</v>
      </c>
      <c r="F791" s="40" t="s">
        <v>1545</v>
      </c>
      <c r="G791" s="40">
        <v>1</v>
      </c>
      <c r="H791" s="41">
        <v>40513.515972222223</v>
      </c>
      <c r="I791" s="40">
        <v>4.25</v>
      </c>
      <c r="J791" s="40">
        <v>17968</v>
      </c>
      <c r="K791" s="40" t="s">
        <v>71</v>
      </c>
      <c r="L791" s="42">
        <v>4.25</v>
      </c>
      <c r="M791" s="40" t="s">
        <v>721</v>
      </c>
      <c r="N791" s="40">
        <v>2010</v>
      </c>
      <c r="O791" s="40" t="s">
        <v>83</v>
      </c>
      <c r="P791" s="40" t="s">
        <v>126</v>
      </c>
      <c r="Q791" s="40" t="s">
        <v>624</v>
      </c>
      <c r="R791" s="40">
        <v>12</v>
      </c>
      <c r="S791" s="40" t="b">
        <v>0</v>
      </c>
      <c r="T791" s="40" t="b">
        <v>1</v>
      </c>
      <c r="U791" s="42">
        <f t="shared" si="12"/>
        <v>4.25</v>
      </c>
      <c r="V791" s="42">
        <v>0</v>
      </c>
      <c r="W791" s="42">
        <v>4.25</v>
      </c>
    </row>
    <row r="792" spans="4:23" x14ac:dyDescent="0.15">
      <c r="D792" s="43" t="s">
        <v>1533</v>
      </c>
      <c r="E792" s="43" t="s">
        <v>1546</v>
      </c>
      <c r="F792" s="43" t="s">
        <v>1547</v>
      </c>
      <c r="G792" s="43">
        <v>3</v>
      </c>
      <c r="H792" s="44">
        <v>40513.515972222223</v>
      </c>
      <c r="I792" s="43">
        <v>4.25</v>
      </c>
      <c r="J792" s="43">
        <v>17968</v>
      </c>
      <c r="K792" s="43" t="s">
        <v>71</v>
      </c>
      <c r="L792" s="45">
        <v>12.75</v>
      </c>
      <c r="M792" s="43" t="s">
        <v>721</v>
      </c>
      <c r="N792" s="43">
        <v>2010</v>
      </c>
      <c r="O792" s="43" t="s">
        <v>83</v>
      </c>
      <c r="P792" s="43" t="s">
        <v>126</v>
      </c>
      <c r="Q792" s="43" t="s">
        <v>624</v>
      </c>
      <c r="R792" s="43">
        <v>12</v>
      </c>
      <c r="S792" s="43" t="b">
        <v>0</v>
      </c>
      <c r="T792" s="43" t="b">
        <v>1</v>
      </c>
      <c r="U792" s="45">
        <f t="shared" si="12"/>
        <v>12.75</v>
      </c>
      <c r="V792" s="45">
        <v>0</v>
      </c>
      <c r="W792" s="45">
        <v>12.75</v>
      </c>
    </row>
    <row r="793" spans="4:23" x14ac:dyDescent="0.15">
      <c r="D793" s="40" t="s">
        <v>1533</v>
      </c>
      <c r="E793" s="40" t="s">
        <v>1548</v>
      </c>
      <c r="F793" s="40" t="s">
        <v>1549</v>
      </c>
      <c r="G793" s="40">
        <v>1</v>
      </c>
      <c r="H793" s="41">
        <v>40513.515972222223</v>
      </c>
      <c r="I793" s="40">
        <v>4.25</v>
      </c>
      <c r="J793" s="40">
        <v>17968</v>
      </c>
      <c r="K793" s="40" t="s">
        <v>71</v>
      </c>
      <c r="L793" s="42">
        <v>4.25</v>
      </c>
      <c r="M793" s="40" t="s">
        <v>721</v>
      </c>
      <c r="N793" s="40">
        <v>2010</v>
      </c>
      <c r="O793" s="40" t="s">
        <v>83</v>
      </c>
      <c r="P793" s="40" t="s">
        <v>126</v>
      </c>
      <c r="Q793" s="40" t="s">
        <v>624</v>
      </c>
      <c r="R793" s="40">
        <v>12</v>
      </c>
      <c r="S793" s="40" t="b">
        <v>0</v>
      </c>
      <c r="T793" s="40" t="b">
        <v>1</v>
      </c>
      <c r="U793" s="42">
        <f t="shared" si="12"/>
        <v>4.25</v>
      </c>
      <c r="V793" s="42">
        <v>0</v>
      </c>
      <c r="W793" s="42">
        <v>4.25</v>
      </c>
    </row>
    <row r="794" spans="4:23" x14ac:dyDescent="0.15">
      <c r="D794" s="43" t="s">
        <v>1533</v>
      </c>
      <c r="E794" s="43" t="s">
        <v>183</v>
      </c>
      <c r="F794" s="43" t="s">
        <v>184</v>
      </c>
      <c r="G794" s="43">
        <v>1</v>
      </c>
      <c r="H794" s="44">
        <v>40513.515972222223</v>
      </c>
      <c r="I794" s="43">
        <v>1.95</v>
      </c>
      <c r="J794" s="43">
        <v>17968</v>
      </c>
      <c r="K794" s="43" t="s">
        <v>71</v>
      </c>
      <c r="L794" s="45">
        <v>1.95</v>
      </c>
      <c r="M794" s="43" t="s">
        <v>721</v>
      </c>
      <c r="N794" s="43">
        <v>2010</v>
      </c>
      <c r="O794" s="43" t="s">
        <v>83</v>
      </c>
      <c r="P794" s="43" t="s">
        <v>126</v>
      </c>
      <c r="Q794" s="43" t="s">
        <v>624</v>
      </c>
      <c r="R794" s="43">
        <v>12</v>
      </c>
      <c r="S794" s="43" t="b">
        <v>0</v>
      </c>
      <c r="T794" s="43" t="b">
        <v>1</v>
      </c>
      <c r="U794" s="45">
        <f t="shared" si="12"/>
        <v>1.95</v>
      </c>
      <c r="V794" s="45">
        <v>0</v>
      </c>
      <c r="W794" s="45">
        <v>1.95</v>
      </c>
    </row>
    <row r="795" spans="4:23" x14ac:dyDescent="0.15">
      <c r="D795" s="40" t="s">
        <v>1533</v>
      </c>
      <c r="E795" s="40" t="s">
        <v>170</v>
      </c>
      <c r="F795" s="40" t="s">
        <v>104</v>
      </c>
      <c r="G795" s="40">
        <v>1</v>
      </c>
      <c r="H795" s="41">
        <v>40513.515972222223</v>
      </c>
      <c r="I795" s="40">
        <v>1.95</v>
      </c>
      <c r="J795" s="40">
        <v>17968</v>
      </c>
      <c r="K795" s="40" t="s">
        <v>71</v>
      </c>
      <c r="L795" s="42">
        <v>1.95</v>
      </c>
      <c r="M795" s="40" t="s">
        <v>721</v>
      </c>
      <c r="N795" s="40">
        <v>2010</v>
      </c>
      <c r="O795" s="40" t="s">
        <v>83</v>
      </c>
      <c r="P795" s="40" t="s">
        <v>126</v>
      </c>
      <c r="Q795" s="40" t="s">
        <v>624</v>
      </c>
      <c r="R795" s="40">
        <v>12</v>
      </c>
      <c r="S795" s="40" t="b">
        <v>0</v>
      </c>
      <c r="T795" s="40" t="b">
        <v>1</v>
      </c>
      <c r="U795" s="42">
        <f t="shared" si="12"/>
        <v>1.95</v>
      </c>
      <c r="V795" s="42">
        <v>0</v>
      </c>
      <c r="W795" s="42">
        <v>1.95</v>
      </c>
    </row>
    <row r="796" spans="4:23" x14ac:dyDescent="0.15">
      <c r="D796" s="43" t="s">
        <v>1533</v>
      </c>
      <c r="E796" s="43" t="s">
        <v>177</v>
      </c>
      <c r="F796" s="43" t="s">
        <v>178</v>
      </c>
      <c r="G796" s="43">
        <v>8</v>
      </c>
      <c r="H796" s="44">
        <v>40513.515972222223</v>
      </c>
      <c r="I796" s="43">
        <v>1.69</v>
      </c>
      <c r="J796" s="43">
        <v>17968</v>
      </c>
      <c r="K796" s="43" t="s">
        <v>71</v>
      </c>
      <c r="L796" s="45">
        <v>13.52</v>
      </c>
      <c r="M796" s="43" t="s">
        <v>721</v>
      </c>
      <c r="N796" s="43">
        <v>2010</v>
      </c>
      <c r="O796" s="43" t="s">
        <v>83</v>
      </c>
      <c r="P796" s="43" t="s">
        <v>126</v>
      </c>
      <c r="Q796" s="43" t="s">
        <v>624</v>
      </c>
      <c r="R796" s="43">
        <v>12</v>
      </c>
      <c r="S796" s="43" t="b">
        <v>0</v>
      </c>
      <c r="T796" s="43" t="b">
        <v>1</v>
      </c>
      <c r="U796" s="45">
        <f t="shared" si="12"/>
        <v>13.52</v>
      </c>
      <c r="V796" s="45">
        <v>0</v>
      </c>
      <c r="W796" s="45">
        <v>13.52</v>
      </c>
    </row>
    <row r="797" spans="4:23" x14ac:dyDescent="0.15">
      <c r="D797" s="40" t="s">
        <v>1533</v>
      </c>
      <c r="E797" s="40" t="s">
        <v>175</v>
      </c>
      <c r="F797" s="40" t="s">
        <v>176</v>
      </c>
      <c r="G797" s="40">
        <v>1</v>
      </c>
      <c r="H797" s="41">
        <v>40513.515972222223</v>
      </c>
      <c r="I797" s="40">
        <v>2.95</v>
      </c>
      <c r="J797" s="40">
        <v>17968</v>
      </c>
      <c r="K797" s="40" t="s">
        <v>71</v>
      </c>
      <c r="L797" s="42">
        <v>2.95</v>
      </c>
      <c r="M797" s="40" t="s">
        <v>721</v>
      </c>
      <c r="N797" s="40">
        <v>2010</v>
      </c>
      <c r="O797" s="40" t="s">
        <v>83</v>
      </c>
      <c r="P797" s="40" t="s">
        <v>126</v>
      </c>
      <c r="Q797" s="40" t="s">
        <v>624</v>
      </c>
      <c r="R797" s="40">
        <v>12</v>
      </c>
      <c r="S797" s="40" t="b">
        <v>0</v>
      </c>
      <c r="T797" s="40" t="b">
        <v>1</v>
      </c>
      <c r="U797" s="42">
        <f t="shared" si="12"/>
        <v>2.95</v>
      </c>
      <c r="V797" s="42">
        <v>0</v>
      </c>
      <c r="W797" s="42">
        <v>2.95</v>
      </c>
    </row>
    <row r="798" spans="4:23" x14ac:dyDescent="0.15">
      <c r="D798" s="43" t="s">
        <v>1533</v>
      </c>
      <c r="E798" s="43" t="s">
        <v>1550</v>
      </c>
      <c r="F798" s="43" t="s">
        <v>1551</v>
      </c>
      <c r="G798" s="43">
        <v>1</v>
      </c>
      <c r="H798" s="44">
        <v>40513.515972222223</v>
      </c>
      <c r="I798" s="43">
        <v>1.65</v>
      </c>
      <c r="J798" s="43">
        <v>17968</v>
      </c>
      <c r="K798" s="43" t="s">
        <v>71</v>
      </c>
      <c r="L798" s="45">
        <v>1.65</v>
      </c>
      <c r="M798" s="43" t="s">
        <v>721</v>
      </c>
      <c r="N798" s="43">
        <v>2010</v>
      </c>
      <c r="O798" s="43" t="s">
        <v>83</v>
      </c>
      <c r="P798" s="43" t="s">
        <v>126</v>
      </c>
      <c r="Q798" s="43" t="s">
        <v>624</v>
      </c>
      <c r="R798" s="43">
        <v>12</v>
      </c>
      <c r="S798" s="43" t="b">
        <v>0</v>
      </c>
      <c r="T798" s="43" t="b">
        <v>1</v>
      </c>
      <c r="U798" s="45">
        <f t="shared" si="12"/>
        <v>1.65</v>
      </c>
      <c r="V798" s="45">
        <v>0</v>
      </c>
      <c r="W798" s="45">
        <v>1.65</v>
      </c>
    </row>
    <row r="799" spans="4:23" x14ac:dyDescent="0.15">
      <c r="D799" s="40" t="s">
        <v>1533</v>
      </c>
      <c r="E799" s="40" t="s">
        <v>1552</v>
      </c>
      <c r="F799" s="40" t="s">
        <v>1553</v>
      </c>
      <c r="G799" s="40">
        <v>1</v>
      </c>
      <c r="H799" s="41">
        <v>40513.515972222223</v>
      </c>
      <c r="I799" s="40">
        <v>3.25</v>
      </c>
      <c r="J799" s="40">
        <v>17968</v>
      </c>
      <c r="K799" s="40" t="s">
        <v>71</v>
      </c>
      <c r="L799" s="42">
        <v>3.25</v>
      </c>
      <c r="M799" s="40" t="s">
        <v>721</v>
      </c>
      <c r="N799" s="40">
        <v>2010</v>
      </c>
      <c r="O799" s="40" t="s">
        <v>83</v>
      </c>
      <c r="P799" s="40" t="s">
        <v>126</v>
      </c>
      <c r="Q799" s="40" t="s">
        <v>624</v>
      </c>
      <c r="R799" s="40">
        <v>12</v>
      </c>
      <c r="S799" s="40" t="b">
        <v>0</v>
      </c>
      <c r="T799" s="40" t="b">
        <v>1</v>
      </c>
      <c r="U799" s="42">
        <f t="shared" si="12"/>
        <v>3.25</v>
      </c>
      <c r="V799" s="42">
        <v>0</v>
      </c>
      <c r="W799" s="42">
        <v>3.25</v>
      </c>
    </row>
    <row r="800" spans="4:23" x14ac:dyDescent="0.15">
      <c r="D800" s="43" t="s">
        <v>1533</v>
      </c>
      <c r="E800" s="43" t="s">
        <v>1554</v>
      </c>
      <c r="F800" s="43" t="s">
        <v>1555</v>
      </c>
      <c r="G800" s="43">
        <v>2</v>
      </c>
      <c r="H800" s="44">
        <v>40513.515972222223</v>
      </c>
      <c r="I800" s="43">
        <v>2.95</v>
      </c>
      <c r="J800" s="43">
        <v>17968</v>
      </c>
      <c r="K800" s="43" t="s">
        <v>71</v>
      </c>
      <c r="L800" s="45">
        <v>5.9</v>
      </c>
      <c r="M800" s="43" t="s">
        <v>721</v>
      </c>
      <c r="N800" s="43">
        <v>2010</v>
      </c>
      <c r="O800" s="43" t="s">
        <v>83</v>
      </c>
      <c r="P800" s="43" t="s">
        <v>126</v>
      </c>
      <c r="Q800" s="43" t="s">
        <v>624</v>
      </c>
      <c r="R800" s="43">
        <v>12</v>
      </c>
      <c r="S800" s="43" t="b">
        <v>0</v>
      </c>
      <c r="T800" s="43" t="b">
        <v>1</v>
      </c>
      <c r="U800" s="45">
        <f t="shared" si="12"/>
        <v>5.9</v>
      </c>
      <c r="V800" s="45">
        <v>0</v>
      </c>
      <c r="W800" s="45">
        <v>5.9</v>
      </c>
    </row>
    <row r="801" spans="4:23" x14ac:dyDescent="0.15">
      <c r="D801" s="40" t="s">
        <v>1533</v>
      </c>
      <c r="E801" s="40" t="s">
        <v>1556</v>
      </c>
      <c r="F801" s="40" t="s">
        <v>1557</v>
      </c>
      <c r="G801" s="40">
        <v>1</v>
      </c>
      <c r="H801" s="41">
        <v>40513.515972222223</v>
      </c>
      <c r="I801" s="40">
        <v>0.28999999999999998</v>
      </c>
      <c r="J801" s="40">
        <v>17968</v>
      </c>
      <c r="K801" s="40" t="s">
        <v>71</v>
      </c>
      <c r="L801" s="42">
        <v>0.28999999999999998</v>
      </c>
      <c r="M801" s="40" t="s">
        <v>721</v>
      </c>
      <c r="N801" s="40">
        <v>2010</v>
      </c>
      <c r="O801" s="40" t="s">
        <v>83</v>
      </c>
      <c r="P801" s="40" t="s">
        <v>126</v>
      </c>
      <c r="Q801" s="40" t="s">
        <v>624</v>
      </c>
      <c r="R801" s="40">
        <v>12</v>
      </c>
      <c r="S801" s="40" t="b">
        <v>0</v>
      </c>
      <c r="T801" s="40" t="b">
        <v>1</v>
      </c>
      <c r="U801" s="42">
        <f t="shared" si="12"/>
        <v>0.28999999999999998</v>
      </c>
      <c r="V801" s="42">
        <v>0</v>
      </c>
      <c r="W801" s="42">
        <v>0.28999999999999998</v>
      </c>
    </row>
    <row r="802" spans="4:23" x14ac:dyDescent="0.15">
      <c r="D802" s="43" t="s">
        <v>1533</v>
      </c>
      <c r="E802" s="43" t="s">
        <v>986</v>
      </c>
      <c r="F802" s="43" t="s">
        <v>987</v>
      </c>
      <c r="G802" s="43">
        <v>1</v>
      </c>
      <c r="H802" s="44">
        <v>40513.515972222223</v>
      </c>
      <c r="I802" s="43">
        <v>0.28999999999999998</v>
      </c>
      <c r="J802" s="43">
        <v>17968</v>
      </c>
      <c r="K802" s="43" t="s">
        <v>71</v>
      </c>
      <c r="L802" s="45">
        <v>0.28999999999999998</v>
      </c>
      <c r="M802" s="43" t="s">
        <v>721</v>
      </c>
      <c r="N802" s="43">
        <v>2010</v>
      </c>
      <c r="O802" s="43" t="s">
        <v>83</v>
      </c>
      <c r="P802" s="43" t="s">
        <v>126</v>
      </c>
      <c r="Q802" s="43" t="s">
        <v>624</v>
      </c>
      <c r="R802" s="43">
        <v>12</v>
      </c>
      <c r="S802" s="43" t="b">
        <v>0</v>
      </c>
      <c r="T802" s="43" t="b">
        <v>1</v>
      </c>
      <c r="U802" s="45">
        <f t="shared" si="12"/>
        <v>0.28999999999999998</v>
      </c>
      <c r="V802" s="45">
        <v>0</v>
      </c>
      <c r="W802" s="45">
        <v>0.28999999999999998</v>
      </c>
    </row>
    <row r="803" spans="4:23" x14ac:dyDescent="0.15">
      <c r="D803" s="40" t="s">
        <v>1533</v>
      </c>
      <c r="E803" s="40" t="s">
        <v>1353</v>
      </c>
      <c r="F803" s="40" t="s">
        <v>1354</v>
      </c>
      <c r="G803" s="40">
        <v>1</v>
      </c>
      <c r="H803" s="41">
        <v>40513.515972222223</v>
      </c>
      <c r="I803" s="40">
        <v>1.25</v>
      </c>
      <c r="J803" s="40">
        <v>17968</v>
      </c>
      <c r="K803" s="40" t="s">
        <v>71</v>
      </c>
      <c r="L803" s="42">
        <v>1.25</v>
      </c>
      <c r="M803" s="40" t="s">
        <v>721</v>
      </c>
      <c r="N803" s="40">
        <v>2010</v>
      </c>
      <c r="O803" s="40" t="s">
        <v>83</v>
      </c>
      <c r="P803" s="40" t="s">
        <v>126</v>
      </c>
      <c r="Q803" s="40" t="s">
        <v>624</v>
      </c>
      <c r="R803" s="40">
        <v>12</v>
      </c>
      <c r="S803" s="40" t="b">
        <v>0</v>
      </c>
      <c r="T803" s="40" t="b">
        <v>1</v>
      </c>
      <c r="U803" s="42">
        <f t="shared" si="12"/>
        <v>1.25</v>
      </c>
      <c r="V803" s="42">
        <v>0</v>
      </c>
      <c r="W803" s="42">
        <v>1.25</v>
      </c>
    </row>
    <row r="804" spans="4:23" x14ac:dyDescent="0.15">
      <c r="D804" s="43" t="s">
        <v>1533</v>
      </c>
      <c r="E804" s="43" t="s">
        <v>1144</v>
      </c>
      <c r="F804" s="43" t="s">
        <v>1145</v>
      </c>
      <c r="G804" s="43">
        <v>1</v>
      </c>
      <c r="H804" s="44">
        <v>40513.515972222223</v>
      </c>
      <c r="I804" s="43">
        <v>1.25</v>
      </c>
      <c r="J804" s="43">
        <v>17968</v>
      </c>
      <c r="K804" s="43" t="s">
        <v>71</v>
      </c>
      <c r="L804" s="45">
        <v>1.25</v>
      </c>
      <c r="M804" s="43" t="s">
        <v>721</v>
      </c>
      <c r="N804" s="43">
        <v>2010</v>
      </c>
      <c r="O804" s="43" t="s">
        <v>83</v>
      </c>
      <c r="P804" s="43" t="s">
        <v>126</v>
      </c>
      <c r="Q804" s="43" t="s">
        <v>624</v>
      </c>
      <c r="R804" s="43">
        <v>12</v>
      </c>
      <c r="S804" s="43" t="b">
        <v>0</v>
      </c>
      <c r="T804" s="43" t="b">
        <v>1</v>
      </c>
      <c r="U804" s="45">
        <f t="shared" si="12"/>
        <v>1.25</v>
      </c>
      <c r="V804" s="45">
        <v>0</v>
      </c>
      <c r="W804" s="45">
        <v>1.25</v>
      </c>
    </row>
    <row r="805" spans="4:23" x14ac:dyDescent="0.15">
      <c r="D805" s="40" t="s">
        <v>1533</v>
      </c>
      <c r="E805" s="40" t="s">
        <v>1485</v>
      </c>
      <c r="F805" s="40" t="s">
        <v>1486</v>
      </c>
      <c r="G805" s="40">
        <v>1</v>
      </c>
      <c r="H805" s="41">
        <v>40513.515972222223</v>
      </c>
      <c r="I805" s="40">
        <v>1.25</v>
      </c>
      <c r="J805" s="40">
        <v>17968</v>
      </c>
      <c r="K805" s="40" t="s">
        <v>71</v>
      </c>
      <c r="L805" s="42">
        <v>1.25</v>
      </c>
      <c r="M805" s="40" t="s">
        <v>721</v>
      </c>
      <c r="N805" s="40">
        <v>2010</v>
      </c>
      <c r="O805" s="40" t="s">
        <v>83</v>
      </c>
      <c r="P805" s="40" t="s">
        <v>126</v>
      </c>
      <c r="Q805" s="40" t="s">
        <v>624</v>
      </c>
      <c r="R805" s="40">
        <v>12</v>
      </c>
      <c r="S805" s="40" t="b">
        <v>0</v>
      </c>
      <c r="T805" s="40" t="b">
        <v>1</v>
      </c>
      <c r="U805" s="42">
        <f t="shared" si="12"/>
        <v>1.25</v>
      </c>
      <c r="V805" s="42">
        <v>0</v>
      </c>
      <c r="W805" s="42">
        <v>1.25</v>
      </c>
    </row>
    <row r="806" spans="4:23" x14ac:dyDescent="0.15">
      <c r="D806" s="43" t="s">
        <v>1533</v>
      </c>
      <c r="E806" s="43" t="s">
        <v>1558</v>
      </c>
      <c r="F806" s="43" t="s">
        <v>1559</v>
      </c>
      <c r="G806" s="43">
        <v>1</v>
      </c>
      <c r="H806" s="44">
        <v>40513.515972222223</v>
      </c>
      <c r="I806" s="43">
        <v>1.65</v>
      </c>
      <c r="J806" s="43">
        <v>17968</v>
      </c>
      <c r="K806" s="43" t="s">
        <v>71</v>
      </c>
      <c r="L806" s="45">
        <v>1.65</v>
      </c>
      <c r="M806" s="43" t="s">
        <v>721</v>
      </c>
      <c r="N806" s="43">
        <v>2010</v>
      </c>
      <c r="O806" s="43" t="s">
        <v>83</v>
      </c>
      <c r="P806" s="43" t="s">
        <v>126</v>
      </c>
      <c r="Q806" s="43" t="s">
        <v>624</v>
      </c>
      <c r="R806" s="43">
        <v>12</v>
      </c>
      <c r="S806" s="43" t="b">
        <v>0</v>
      </c>
      <c r="T806" s="43" t="b">
        <v>1</v>
      </c>
      <c r="U806" s="45">
        <f t="shared" si="12"/>
        <v>1.65</v>
      </c>
      <c r="V806" s="45">
        <v>0</v>
      </c>
      <c r="W806" s="45">
        <v>1.65</v>
      </c>
    </row>
    <row r="807" spans="4:23" x14ac:dyDescent="0.15">
      <c r="D807" s="40" t="s">
        <v>1533</v>
      </c>
      <c r="E807" s="40" t="s">
        <v>1197</v>
      </c>
      <c r="F807" s="40" t="s">
        <v>1198</v>
      </c>
      <c r="G807" s="40">
        <v>2</v>
      </c>
      <c r="H807" s="41">
        <v>40513.515972222223</v>
      </c>
      <c r="I807" s="40">
        <v>1.95</v>
      </c>
      <c r="J807" s="40">
        <v>17968</v>
      </c>
      <c r="K807" s="40" t="s">
        <v>71</v>
      </c>
      <c r="L807" s="42">
        <v>3.9</v>
      </c>
      <c r="M807" s="40" t="s">
        <v>721</v>
      </c>
      <c r="N807" s="40">
        <v>2010</v>
      </c>
      <c r="O807" s="40" t="s">
        <v>83</v>
      </c>
      <c r="P807" s="40" t="s">
        <v>126</v>
      </c>
      <c r="Q807" s="40" t="s">
        <v>624</v>
      </c>
      <c r="R807" s="40">
        <v>12</v>
      </c>
      <c r="S807" s="40" t="b">
        <v>0</v>
      </c>
      <c r="T807" s="40" t="b">
        <v>1</v>
      </c>
      <c r="U807" s="42">
        <f t="shared" si="12"/>
        <v>3.9</v>
      </c>
      <c r="V807" s="42">
        <v>0</v>
      </c>
      <c r="W807" s="42">
        <v>3.9</v>
      </c>
    </row>
    <row r="808" spans="4:23" x14ac:dyDescent="0.15">
      <c r="D808" s="43" t="s">
        <v>1533</v>
      </c>
      <c r="E808" s="43" t="s">
        <v>1227</v>
      </c>
      <c r="F808" s="43" t="s">
        <v>1228</v>
      </c>
      <c r="G808" s="43">
        <v>6</v>
      </c>
      <c r="H808" s="44">
        <v>40513.515972222223</v>
      </c>
      <c r="I808" s="43">
        <v>1.95</v>
      </c>
      <c r="J808" s="43">
        <v>17968</v>
      </c>
      <c r="K808" s="43" t="s">
        <v>71</v>
      </c>
      <c r="L808" s="45">
        <v>11.7</v>
      </c>
      <c r="M808" s="43" t="s">
        <v>721</v>
      </c>
      <c r="N808" s="43">
        <v>2010</v>
      </c>
      <c r="O808" s="43" t="s">
        <v>83</v>
      </c>
      <c r="P808" s="43" t="s">
        <v>126</v>
      </c>
      <c r="Q808" s="43" t="s">
        <v>624</v>
      </c>
      <c r="R808" s="43">
        <v>12</v>
      </c>
      <c r="S808" s="43" t="b">
        <v>0</v>
      </c>
      <c r="T808" s="43" t="b">
        <v>1</v>
      </c>
      <c r="U808" s="45">
        <f t="shared" si="12"/>
        <v>11.7</v>
      </c>
      <c r="V808" s="45">
        <v>0</v>
      </c>
      <c r="W808" s="45">
        <v>11.7</v>
      </c>
    </row>
    <row r="809" spans="4:23" x14ac:dyDescent="0.15">
      <c r="D809" s="40" t="s">
        <v>1533</v>
      </c>
      <c r="E809" s="40" t="s">
        <v>199</v>
      </c>
      <c r="F809" s="40" t="s">
        <v>380</v>
      </c>
      <c r="G809" s="40">
        <v>5</v>
      </c>
      <c r="H809" s="41">
        <v>40513.515972222223</v>
      </c>
      <c r="I809" s="40">
        <v>0.85</v>
      </c>
      <c r="J809" s="40">
        <v>17968</v>
      </c>
      <c r="K809" s="40" t="s">
        <v>71</v>
      </c>
      <c r="L809" s="42">
        <v>4.25</v>
      </c>
      <c r="M809" s="40" t="s">
        <v>721</v>
      </c>
      <c r="N809" s="40">
        <v>2010</v>
      </c>
      <c r="O809" s="40" t="s">
        <v>83</v>
      </c>
      <c r="P809" s="40" t="s">
        <v>126</v>
      </c>
      <c r="Q809" s="40" t="s">
        <v>624</v>
      </c>
      <c r="R809" s="40">
        <v>12</v>
      </c>
      <c r="S809" s="40" t="b">
        <v>0</v>
      </c>
      <c r="T809" s="40" t="b">
        <v>1</v>
      </c>
      <c r="U809" s="42">
        <f t="shared" si="12"/>
        <v>4.25</v>
      </c>
      <c r="V809" s="42">
        <v>0</v>
      </c>
      <c r="W809" s="42">
        <v>4.25</v>
      </c>
    </row>
    <row r="810" spans="4:23" x14ac:dyDescent="0.15">
      <c r="D810" s="43" t="s">
        <v>1533</v>
      </c>
      <c r="E810" s="43" t="s">
        <v>499</v>
      </c>
      <c r="F810" s="43" t="s">
        <v>500</v>
      </c>
      <c r="G810" s="43">
        <v>1</v>
      </c>
      <c r="H810" s="44">
        <v>40513.515972222223</v>
      </c>
      <c r="I810" s="43">
        <v>0.55000000000000004</v>
      </c>
      <c r="J810" s="43">
        <v>17968</v>
      </c>
      <c r="K810" s="43" t="s">
        <v>71</v>
      </c>
      <c r="L810" s="45">
        <v>0.55000000000000004</v>
      </c>
      <c r="M810" s="43" t="s">
        <v>721</v>
      </c>
      <c r="N810" s="43">
        <v>2010</v>
      </c>
      <c r="O810" s="43" t="s">
        <v>83</v>
      </c>
      <c r="P810" s="43" t="s">
        <v>126</v>
      </c>
      <c r="Q810" s="43" t="s">
        <v>624</v>
      </c>
      <c r="R810" s="43">
        <v>12</v>
      </c>
      <c r="S810" s="43" t="b">
        <v>0</v>
      </c>
      <c r="T810" s="43" t="b">
        <v>1</v>
      </c>
      <c r="U810" s="45">
        <f t="shared" si="12"/>
        <v>0.55000000000000004</v>
      </c>
      <c r="V810" s="45">
        <v>0</v>
      </c>
      <c r="W810" s="45">
        <v>0.55000000000000004</v>
      </c>
    </row>
    <row r="811" spans="4:23" x14ac:dyDescent="0.15">
      <c r="D811" s="40" t="s">
        <v>1533</v>
      </c>
      <c r="E811" s="40" t="s">
        <v>997</v>
      </c>
      <c r="F811" s="40" t="s">
        <v>998</v>
      </c>
      <c r="G811" s="40">
        <v>1</v>
      </c>
      <c r="H811" s="41">
        <v>40513.515972222223</v>
      </c>
      <c r="I811" s="40">
        <v>3.75</v>
      </c>
      <c r="J811" s="40">
        <v>17968</v>
      </c>
      <c r="K811" s="40" t="s">
        <v>71</v>
      </c>
      <c r="L811" s="42">
        <v>3.75</v>
      </c>
      <c r="M811" s="40" t="s">
        <v>721</v>
      </c>
      <c r="N811" s="40">
        <v>2010</v>
      </c>
      <c r="O811" s="40" t="s">
        <v>83</v>
      </c>
      <c r="P811" s="40" t="s">
        <v>126</v>
      </c>
      <c r="Q811" s="40" t="s">
        <v>624</v>
      </c>
      <c r="R811" s="40">
        <v>12</v>
      </c>
      <c r="S811" s="40" t="b">
        <v>0</v>
      </c>
      <c r="T811" s="40" t="b">
        <v>1</v>
      </c>
      <c r="U811" s="42">
        <f t="shared" si="12"/>
        <v>3.75</v>
      </c>
      <c r="V811" s="42">
        <v>0</v>
      </c>
      <c r="W811" s="42">
        <v>3.75</v>
      </c>
    </row>
    <row r="812" spans="4:23" x14ac:dyDescent="0.15">
      <c r="D812" s="43" t="s">
        <v>1533</v>
      </c>
      <c r="E812" s="43" t="s">
        <v>1560</v>
      </c>
      <c r="F812" s="43" t="s">
        <v>1561</v>
      </c>
      <c r="G812" s="43">
        <v>1</v>
      </c>
      <c r="H812" s="44">
        <v>40513.515972222223</v>
      </c>
      <c r="I812" s="43">
        <v>0.42</v>
      </c>
      <c r="J812" s="43">
        <v>17968</v>
      </c>
      <c r="K812" s="43" t="s">
        <v>71</v>
      </c>
      <c r="L812" s="45">
        <v>0.42</v>
      </c>
      <c r="M812" s="43" t="s">
        <v>721</v>
      </c>
      <c r="N812" s="43">
        <v>2010</v>
      </c>
      <c r="O812" s="43" t="s">
        <v>83</v>
      </c>
      <c r="P812" s="43" t="s">
        <v>126</v>
      </c>
      <c r="Q812" s="43" t="s">
        <v>624</v>
      </c>
      <c r="R812" s="43">
        <v>12</v>
      </c>
      <c r="S812" s="43" t="b">
        <v>0</v>
      </c>
      <c r="T812" s="43" t="b">
        <v>1</v>
      </c>
      <c r="U812" s="45">
        <f t="shared" si="12"/>
        <v>0.42</v>
      </c>
      <c r="V812" s="45">
        <v>0</v>
      </c>
      <c r="W812" s="45">
        <v>0.42</v>
      </c>
    </row>
    <row r="813" spans="4:23" x14ac:dyDescent="0.15">
      <c r="D813" s="40" t="s">
        <v>1533</v>
      </c>
      <c r="E813" s="40" t="s">
        <v>1562</v>
      </c>
      <c r="F813" s="40" t="s">
        <v>1563</v>
      </c>
      <c r="G813" s="40">
        <v>1</v>
      </c>
      <c r="H813" s="41">
        <v>40513.515972222223</v>
      </c>
      <c r="I813" s="40">
        <v>2.95</v>
      </c>
      <c r="J813" s="40">
        <v>17968</v>
      </c>
      <c r="K813" s="40" t="s">
        <v>71</v>
      </c>
      <c r="L813" s="42">
        <v>2.95</v>
      </c>
      <c r="M813" s="40" t="s">
        <v>721</v>
      </c>
      <c r="N813" s="40">
        <v>2010</v>
      </c>
      <c r="O813" s="40" t="s">
        <v>83</v>
      </c>
      <c r="P813" s="40" t="s">
        <v>126</v>
      </c>
      <c r="Q813" s="40" t="s">
        <v>624</v>
      </c>
      <c r="R813" s="40">
        <v>12</v>
      </c>
      <c r="S813" s="40" t="b">
        <v>0</v>
      </c>
      <c r="T813" s="40" t="b">
        <v>1</v>
      </c>
      <c r="U813" s="42">
        <f t="shared" si="12"/>
        <v>2.95</v>
      </c>
      <c r="V813" s="42">
        <v>0</v>
      </c>
      <c r="W813" s="42">
        <v>2.95</v>
      </c>
    </row>
    <row r="814" spans="4:23" x14ac:dyDescent="0.15">
      <c r="D814" s="43" t="s">
        <v>1533</v>
      </c>
      <c r="E814" s="43" t="s">
        <v>205</v>
      </c>
      <c r="F814" s="43" t="s">
        <v>206</v>
      </c>
      <c r="G814" s="43">
        <v>1</v>
      </c>
      <c r="H814" s="44">
        <v>40513.515972222223</v>
      </c>
      <c r="I814" s="43">
        <v>2.95</v>
      </c>
      <c r="J814" s="43">
        <v>17968</v>
      </c>
      <c r="K814" s="43" t="s">
        <v>71</v>
      </c>
      <c r="L814" s="45">
        <v>2.95</v>
      </c>
      <c r="M814" s="43" t="s">
        <v>721</v>
      </c>
      <c r="N814" s="43">
        <v>2010</v>
      </c>
      <c r="O814" s="43" t="s">
        <v>83</v>
      </c>
      <c r="P814" s="43" t="s">
        <v>126</v>
      </c>
      <c r="Q814" s="43" t="s">
        <v>624</v>
      </c>
      <c r="R814" s="43">
        <v>12</v>
      </c>
      <c r="S814" s="43" t="b">
        <v>0</v>
      </c>
      <c r="T814" s="43" t="b">
        <v>1</v>
      </c>
      <c r="U814" s="45">
        <f t="shared" si="12"/>
        <v>2.95</v>
      </c>
      <c r="V814" s="45">
        <v>0</v>
      </c>
      <c r="W814" s="45">
        <v>2.95</v>
      </c>
    </row>
    <row r="815" spans="4:23" x14ac:dyDescent="0.15">
      <c r="D815" s="40" t="s">
        <v>1533</v>
      </c>
      <c r="E815" s="40" t="s">
        <v>1564</v>
      </c>
      <c r="F815" s="40" t="s">
        <v>1565</v>
      </c>
      <c r="G815" s="40">
        <v>1</v>
      </c>
      <c r="H815" s="41">
        <v>40513.515972222223</v>
      </c>
      <c r="I815" s="40">
        <v>1.25</v>
      </c>
      <c r="J815" s="40">
        <v>17968</v>
      </c>
      <c r="K815" s="40" t="s">
        <v>71</v>
      </c>
      <c r="L815" s="42">
        <v>1.25</v>
      </c>
      <c r="M815" s="40" t="s">
        <v>721</v>
      </c>
      <c r="N815" s="40">
        <v>2010</v>
      </c>
      <c r="O815" s="40" t="s">
        <v>83</v>
      </c>
      <c r="P815" s="40" t="s">
        <v>126</v>
      </c>
      <c r="Q815" s="40" t="s">
        <v>624</v>
      </c>
      <c r="R815" s="40">
        <v>12</v>
      </c>
      <c r="S815" s="40" t="b">
        <v>0</v>
      </c>
      <c r="T815" s="40" t="b">
        <v>1</v>
      </c>
      <c r="U815" s="42">
        <f t="shared" si="12"/>
        <v>1.25</v>
      </c>
      <c r="V815" s="42">
        <v>0</v>
      </c>
      <c r="W815" s="42">
        <v>1.25</v>
      </c>
    </row>
    <row r="816" spans="4:23" x14ac:dyDescent="0.15">
      <c r="D816" s="43" t="s">
        <v>1533</v>
      </c>
      <c r="E816" s="43" t="s">
        <v>1566</v>
      </c>
      <c r="F816" s="43" t="s">
        <v>1567</v>
      </c>
      <c r="G816" s="43">
        <v>2</v>
      </c>
      <c r="H816" s="44">
        <v>40513.515972222223</v>
      </c>
      <c r="I816" s="43">
        <v>1.65</v>
      </c>
      <c r="J816" s="43">
        <v>17968</v>
      </c>
      <c r="K816" s="43" t="s">
        <v>71</v>
      </c>
      <c r="L816" s="45">
        <v>3.3</v>
      </c>
      <c r="M816" s="43" t="s">
        <v>721</v>
      </c>
      <c r="N816" s="43">
        <v>2010</v>
      </c>
      <c r="O816" s="43" t="s">
        <v>83</v>
      </c>
      <c r="P816" s="43" t="s">
        <v>126</v>
      </c>
      <c r="Q816" s="43" t="s">
        <v>624</v>
      </c>
      <c r="R816" s="43">
        <v>12</v>
      </c>
      <c r="S816" s="43" t="b">
        <v>0</v>
      </c>
      <c r="T816" s="43" t="b">
        <v>1</v>
      </c>
      <c r="U816" s="45">
        <f t="shared" si="12"/>
        <v>3.3</v>
      </c>
      <c r="V816" s="45">
        <v>0</v>
      </c>
      <c r="W816" s="45">
        <v>3.3</v>
      </c>
    </row>
    <row r="817" spans="4:23" x14ac:dyDescent="0.15">
      <c r="D817" s="40" t="s">
        <v>1533</v>
      </c>
      <c r="E817" s="40" t="s">
        <v>1357</v>
      </c>
      <c r="F817" s="40" t="s">
        <v>1358</v>
      </c>
      <c r="G817" s="40">
        <v>2</v>
      </c>
      <c r="H817" s="41">
        <v>40513.515972222223</v>
      </c>
      <c r="I817" s="40">
        <v>0.55000000000000004</v>
      </c>
      <c r="J817" s="40">
        <v>17968</v>
      </c>
      <c r="K817" s="40" t="s">
        <v>71</v>
      </c>
      <c r="L817" s="42">
        <v>1.1000000000000001</v>
      </c>
      <c r="M817" s="40" t="s">
        <v>721</v>
      </c>
      <c r="N817" s="40">
        <v>2010</v>
      </c>
      <c r="O817" s="40" t="s">
        <v>83</v>
      </c>
      <c r="P817" s="40" t="s">
        <v>126</v>
      </c>
      <c r="Q817" s="40" t="s">
        <v>624</v>
      </c>
      <c r="R817" s="40">
        <v>12</v>
      </c>
      <c r="S817" s="40" t="b">
        <v>0</v>
      </c>
      <c r="T817" s="40" t="b">
        <v>1</v>
      </c>
      <c r="U817" s="42">
        <f t="shared" si="12"/>
        <v>1.1000000000000001</v>
      </c>
      <c r="V817" s="42">
        <v>0</v>
      </c>
      <c r="W817" s="42">
        <v>1.1000000000000001</v>
      </c>
    </row>
    <row r="818" spans="4:23" x14ac:dyDescent="0.15">
      <c r="D818" s="43" t="s">
        <v>1533</v>
      </c>
      <c r="E818" s="43" t="s">
        <v>1568</v>
      </c>
      <c r="F818" s="43" t="s">
        <v>1569</v>
      </c>
      <c r="G818" s="43">
        <v>6</v>
      </c>
      <c r="H818" s="44">
        <v>40513.515972222223</v>
      </c>
      <c r="I818" s="43">
        <v>0.85</v>
      </c>
      <c r="J818" s="43">
        <v>17968</v>
      </c>
      <c r="K818" s="43" t="s">
        <v>71</v>
      </c>
      <c r="L818" s="45">
        <v>5.0999999999999996</v>
      </c>
      <c r="M818" s="43" t="s">
        <v>721</v>
      </c>
      <c r="N818" s="43">
        <v>2010</v>
      </c>
      <c r="O818" s="43" t="s">
        <v>83</v>
      </c>
      <c r="P818" s="43" t="s">
        <v>126</v>
      </c>
      <c r="Q818" s="43" t="s">
        <v>624</v>
      </c>
      <c r="R818" s="43">
        <v>12</v>
      </c>
      <c r="S818" s="43" t="b">
        <v>0</v>
      </c>
      <c r="T818" s="43" t="b">
        <v>1</v>
      </c>
      <c r="U818" s="45">
        <f t="shared" si="12"/>
        <v>5.0999999999999996</v>
      </c>
      <c r="V818" s="45">
        <v>0</v>
      </c>
      <c r="W818" s="45">
        <v>5.0999999999999996</v>
      </c>
    </row>
    <row r="819" spans="4:23" x14ac:dyDescent="0.15">
      <c r="D819" s="40" t="s">
        <v>1533</v>
      </c>
      <c r="E819" s="40" t="s">
        <v>1570</v>
      </c>
      <c r="F819" s="40" t="s">
        <v>1571</v>
      </c>
      <c r="G819" s="40">
        <v>2</v>
      </c>
      <c r="H819" s="41">
        <v>40513.515972222223</v>
      </c>
      <c r="I819" s="40">
        <v>1.45</v>
      </c>
      <c r="J819" s="40">
        <v>17968</v>
      </c>
      <c r="K819" s="40" t="s">
        <v>71</v>
      </c>
      <c r="L819" s="42">
        <v>2.9</v>
      </c>
      <c r="M819" s="40" t="s">
        <v>721</v>
      </c>
      <c r="N819" s="40">
        <v>2010</v>
      </c>
      <c r="O819" s="40" t="s">
        <v>83</v>
      </c>
      <c r="P819" s="40" t="s">
        <v>126</v>
      </c>
      <c r="Q819" s="40" t="s">
        <v>624</v>
      </c>
      <c r="R819" s="40">
        <v>12</v>
      </c>
      <c r="S819" s="40" t="b">
        <v>0</v>
      </c>
      <c r="T819" s="40" t="b">
        <v>1</v>
      </c>
      <c r="U819" s="42">
        <f t="shared" si="12"/>
        <v>2.9</v>
      </c>
      <c r="V819" s="42">
        <v>0</v>
      </c>
      <c r="W819" s="42">
        <v>2.9</v>
      </c>
    </row>
    <row r="820" spans="4:23" x14ac:dyDescent="0.15">
      <c r="D820" s="43" t="s">
        <v>1533</v>
      </c>
      <c r="E820" s="43" t="s">
        <v>1572</v>
      </c>
      <c r="F820" s="43" t="s">
        <v>1573</v>
      </c>
      <c r="G820" s="43">
        <v>4</v>
      </c>
      <c r="H820" s="44">
        <v>40513.515972222223</v>
      </c>
      <c r="I820" s="43">
        <v>1.45</v>
      </c>
      <c r="J820" s="43">
        <v>17968</v>
      </c>
      <c r="K820" s="43" t="s">
        <v>71</v>
      </c>
      <c r="L820" s="45">
        <v>5.8</v>
      </c>
      <c r="M820" s="43" t="s">
        <v>721</v>
      </c>
      <c r="N820" s="43">
        <v>2010</v>
      </c>
      <c r="O820" s="43" t="s">
        <v>83</v>
      </c>
      <c r="P820" s="43" t="s">
        <v>126</v>
      </c>
      <c r="Q820" s="43" t="s">
        <v>624</v>
      </c>
      <c r="R820" s="43">
        <v>12</v>
      </c>
      <c r="S820" s="43" t="b">
        <v>0</v>
      </c>
      <c r="T820" s="43" t="b">
        <v>1</v>
      </c>
      <c r="U820" s="45">
        <f t="shared" si="12"/>
        <v>5.8</v>
      </c>
      <c r="V820" s="45">
        <v>0</v>
      </c>
      <c r="W820" s="45">
        <v>5.8</v>
      </c>
    </row>
    <row r="821" spans="4:23" x14ac:dyDescent="0.15">
      <c r="D821" s="40" t="s">
        <v>1533</v>
      </c>
      <c r="E821" s="40" t="s">
        <v>1574</v>
      </c>
      <c r="F821" s="40" t="s">
        <v>1575</v>
      </c>
      <c r="G821" s="40">
        <v>2</v>
      </c>
      <c r="H821" s="41">
        <v>40513.515972222223</v>
      </c>
      <c r="I821" s="40">
        <v>1.45</v>
      </c>
      <c r="J821" s="40">
        <v>17968</v>
      </c>
      <c r="K821" s="40" t="s">
        <v>71</v>
      </c>
      <c r="L821" s="42">
        <v>2.9</v>
      </c>
      <c r="M821" s="40" t="s">
        <v>721</v>
      </c>
      <c r="N821" s="40">
        <v>2010</v>
      </c>
      <c r="O821" s="40" t="s">
        <v>83</v>
      </c>
      <c r="P821" s="40" t="s">
        <v>126</v>
      </c>
      <c r="Q821" s="40" t="s">
        <v>624</v>
      </c>
      <c r="R821" s="40">
        <v>12</v>
      </c>
      <c r="S821" s="40" t="b">
        <v>0</v>
      </c>
      <c r="T821" s="40" t="b">
        <v>1</v>
      </c>
      <c r="U821" s="42">
        <f t="shared" si="12"/>
        <v>2.9</v>
      </c>
      <c r="V821" s="42">
        <v>0</v>
      </c>
      <c r="W821" s="42">
        <v>2.9</v>
      </c>
    </row>
    <row r="822" spans="4:23" x14ac:dyDescent="0.15">
      <c r="D822" s="43" t="s">
        <v>1533</v>
      </c>
      <c r="E822" s="43" t="s">
        <v>1576</v>
      </c>
      <c r="F822" s="43" t="s">
        <v>1577</v>
      </c>
      <c r="G822" s="43">
        <v>2</v>
      </c>
      <c r="H822" s="44">
        <v>40513.515972222223</v>
      </c>
      <c r="I822" s="43">
        <v>0.85</v>
      </c>
      <c r="J822" s="43">
        <v>17968</v>
      </c>
      <c r="K822" s="43" t="s">
        <v>71</v>
      </c>
      <c r="L822" s="45">
        <v>1.7</v>
      </c>
      <c r="M822" s="43" t="s">
        <v>721</v>
      </c>
      <c r="N822" s="43">
        <v>2010</v>
      </c>
      <c r="O822" s="43" t="s">
        <v>83</v>
      </c>
      <c r="P822" s="43" t="s">
        <v>126</v>
      </c>
      <c r="Q822" s="43" t="s">
        <v>624</v>
      </c>
      <c r="R822" s="43">
        <v>12</v>
      </c>
      <c r="S822" s="43" t="b">
        <v>0</v>
      </c>
      <c r="T822" s="43" t="b">
        <v>1</v>
      </c>
      <c r="U822" s="45">
        <f t="shared" si="12"/>
        <v>1.7</v>
      </c>
      <c r="V822" s="45">
        <v>0</v>
      </c>
      <c r="W822" s="45">
        <v>1.7</v>
      </c>
    </row>
    <row r="823" spans="4:23" x14ac:dyDescent="0.15">
      <c r="D823" s="40" t="s">
        <v>1533</v>
      </c>
      <c r="E823" s="40" t="s">
        <v>1103</v>
      </c>
      <c r="F823" s="40" t="s">
        <v>1104</v>
      </c>
      <c r="G823" s="40">
        <v>1</v>
      </c>
      <c r="H823" s="41">
        <v>40513.515972222223</v>
      </c>
      <c r="I823" s="40">
        <v>2.95</v>
      </c>
      <c r="J823" s="40">
        <v>17968</v>
      </c>
      <c r="K823" s="40" t="s">
        <v>71</v>
      </c>
      <c r="L823" s="42">
        <v>2.95</v>
      </c>
      <c r="M823" s="40" t="s">
        <v>721</v>
      </c>
      <c r="N823" s="40">
        <v>2010</v>
      </c>
      <c r="O823" s="40" t="s">
        <v>83</v>
      </c>
      <c r="P823" s="40" t="s">
        <v>126</v>
      </c>
      <c r="Q823" s="40" t="s">
        <v>624</v>
      </c>
      <c r="R823" s="40">
        <v>12</v>
      </c>
      <c r="S823" s="40" t="b">
        <v>0</v>
      </c>
      <c r="T823" s="40" t="b">
        <v>1</v>
      </c>
      <c r="U823" s="42">
        <f t="shared" si="12"/>
        <v>2.95</v>
      </c>
      <c r="V823" s="42">
        <v>0</v>
      </c>
      <c r="W823" s="42">
        <v>2.95</v>
      </c>
    </row>
    <row r="824" spans="4:23" x14ac:dyDescent="0.15">
      <c r="D824" s="43" t="s">
        <v>1533</v>
      </c>
      <c r="E824" s="43" t="s">
        <v>1578</v>
      </c>
      <c r="F824" s="43" t="s">
        <v>1579</v>
      </c>
      <c r="G824" s="43">
        <v>1</v>
      </c>
      <c r="H824" s="44">
        <v>40513.515972222223</v>
      </c>
      <c r="I824" s="43">
        <v>0.85</v>
      </c>
      <c r="J824" s="43">
        <v>17968</v>
      </c>
      <c r="K824" s="43" t="s">
        <v>71</v>
      </c>
      <c r="L824" s="45">
        <v>0.85</v>
      </c>
      <c r="M824" s="43" t="s">
        <v>721</v>
      </c>
      <c r="N824" s="43">
        <v>2010</v>
      </c>
      <c r="O824" s="43" t="s">
        <v>83</v>
      </c>
      <c r="P824" s="43" t="s">
        <v>126</v>
      </c>
      <c r="Q824" s="43" t="s">
        <v>624</v>
      </c>
      <c r="R824" s="43">
        <v>12</v>
      </c>
      <c r="S824" s="43" t="b">
        <v>0</v>
      </c>
      <c r="T824" s="43" t="b">
        <v>1</v>
      </c>
      <c r="U824" s="45">
        <f t="shared" si="12"/>
        <v>0.85</v>
      </c>
      <c r="V824" s="45">
        <v>0</v>
      </c>
      <c r="W824" s="45">
        <v>0.85</v>
      </c>
    </row>
    <row r="825" spans="4:23" x14ac:dyDescent="0.15">
      <c r="D825" s="40" t="s">
        <v>1533</v>
      </c>
      <c r="E825" s="40" t="s">
        <v>1580</v>
      </c>
      <c r="F825" s="40" t="s">
        <v>1581</v>
      </c>
      <c r="G825" s="40">
        <v>1</v>
      </c>
      <c r="H825" s="41">
        <v>40513.515972222223</v>
      </c>
      <c r="I825" s="40">
        <v>0.85</v>
      </c>
      <c r="J825" s="40">
        <v>17968</v>
      </c>
      <c r="K825" s="40" t="s">
        <v>71</v>
      </c>
      <c r="L825" s="42">
        <v>0.85</v>
      </c>
      <c r="M825" s="40" t="s">
        <v>721</v>
      </c>
      <c r="N825" s="40">
        <v>2010</v>
      </c>
      <c r="O825" s="40" t="s">
        <v>83</v>
      </c>
      <c r="P825" s="40" t="s">
        <v>126</v>
      </c>
      <c r="Q825" s="40" t="s">
        <v>624</v>
      </c>
      <c r="R825" s="40">
        <v>12</v>
      </c>
      <c r="S825" s="40" t="b">
        <v>0</v>
      </c>
      <c r="T825" s="40" t="b">
        <v>1</v>
      </c>
      <c r="U825" s="42">
        <f t="shared" si="12"/>
        <v>0.85</v>
      </c>
      <c r="V825" s="42">
        <v>0</v>
      </c>
      <c r="W825" s="42">
        <v>0.85</v>
      </c>
    </row>
    <row r="826" spans="4:23" x14ac:dyDescent="0.15">
      <c r="D826" s="43" t="s">
        <v>1533</v>
      </c>
      <c r="E826" s="43" t="s">
        <v>1582</v>
      </c>
      <c r="F826" s="43" t="s">
        <v>1583</v>
      </c>
      <c r="G826" s="43">
        <v>2</v>
      </c>
      <c r="H826" s="44">
        <v>40513.515972222223</v>
      </c>
      <c r="I826" s="43">
        <v>0.85</v>
      </c>
      <c r="J826" s="43">
        <v>17968</v>
      </c>
      <c r="K826" s="43" t="s">
        <v>71</v>
      </c>
      <c r="L826" s="45">
        <v>1.7</v>
      </c>
      <c r="M826" s="43" t="s">
        <v>721</v>
      </c>
      <c r="N826" s="43">
        <v>2010</v>
      </c>
      <c r="O826" s="43" t="s">
        <v>83</v>
      </c>
      <c r="P826" s="43" t="s">
        <v>126</v>
      </c>
      <c r="Q826" s="43" t="s">
        <v>624</v>
      </c>
      <c r="R826" s="43">
        <v>12</v>
      </c>
      <c r="S826" s="43" t="b">
        <v>0</v>
      </c>
      <c r="T826" s="43" t="b">
        <v>1</v>
      </c>
      <c r="U826" s="45">
        <f t="shared" si="12"/>
        <v>1.7</v>
      </c>
      <c r="V826" s="45">
        <v>0</v>
      </c>
      <c r="W826" s="45">
        <v>1.7</v>
      </c>
    </row>
    <row r="827" spans="4:23" x14ac:dyDescent="0.15">
      <c r="D827" s="40" t="s">
        <v>1533</v>
      </c>
      <c r="E827" s="40" t="s">
        <v>1105</v>
      </c>
      <c r="F827" s="40" t="s">
        <v>1106</v>
      </c>
      <c r="G827" s="40">
        <v>1</v>
      </c>
      <c r="H827" s="41">
        <v>40513.515972222223</v>
      </c>
      <c r="I827" s="40">
        <v>2.95</v>
      </c>
      <c r="J827" s="40">
        <v>17968</v>
      </c>
      <c r="K827" s="40" t="s">
        <v>71</v>
      </c>
      <c r="L827" s="42">
        <v>2.95</v>
      </c>
      <c r="M827" s="40" t="s">
        <v>721</v>
      </c>
      <c r="N827" s="40">
        <v>2010</v>
      </c>
      <c r="O827" s="40" t="s">
        <v>83</v>
      </c>
      <c r="P827" s="40" t="s">
        <v>126</v>
      </c>
      <c r="Q827" s="40" t="s">
        <v>624</v>
      </c>
      <c r="R827" s="40">
        <v>12</v>
      </c>
      <c r="S827" s="40" t="b">
        <v>0</v>
      </c>
      <c r="T827" s="40" t="b">
        <v>1</v>
      </c>
      <c r="U827" s="42">
        <f t="shared" si="12"/>
        <v>2.95</v>
      </c>
      <c r="V827" s="42">
        <v>0</v>
      </c>
      <c r="W827" s="42">
        <v>2.95</v>
      </c>
    </row>
    <row r="828" spans="4:23" x14ac:dyDescent="0.15">
      <c r="D828" s="43" t="s">
        <v>1533</v>
      </c>
      <c r="E828" s="43" t="s">
        <v>1584</v>
      </c>
      <c r="F828" s="43" t="s">
        <v>1585</v>
      </c>
      <c r="G828" s="43">
        <v>1</v>
      </c>
      <c r="H828" s="44">
        <v>40513.515972222223</v>
      </c>
      <c r="I828" s="43">
        <v>1.25</v>
      </c>
      <c r="J828" s="43">
        <v>17968</v>
      </c>
      <c r="K828" s="43" t="s">
        <v>71</v>
      </c>
      <c r="L828" s="45">
        <v>1.25</v>
      </c>
      <c r="M828" s="43" t="s">
        <v>721</v>
      </c>
      <c r="N828" s="43">
        <v>2010</v>
      </c>
      <c r="O828" s="43" t="s">
        <v>83</v>
      </c>
      <c r="P828" s="43" t="s">
        <v>126</v>
      </c>
      <c r="Q828" s="43" t="s">
        <v>624</v>
      </c>
      <c r="R828" s="43">
        <v>12</v>
      </c>
      <c r="S828" s="43" t="b">
        <v>0</v>
      </c>
      <c r="T828" s="43" t="b">
        <v>1</v>
      </c>
      <c r="U828" s="45">
        <f t="shared" si="12"/>
        <v>1.25</v>
      </c>
      <c r="V828" s="45">
        <v>0</v>
      </c>
      <c r="W828" s="45">
        <v>1.25</v>
      </c>
    </row>
    <row r="829" spans="4:23" x14ac:dyDescent="0.15">
      <c r="D829" s="40" t="s">
        <v>1533</v>
      </c>
      <c r="E829" s="40" t="s">
        <v>1586</v>
      </c>
      <c r="F829" s="40" t="s">
        <v>1587</v>
      </c>
      <c r="G829" s="40">
        <v>1</v>
      </c>
      <c r="H829" s="41">
        <v>40513.515972222223</v>
      </c>
      <c r="I829" s="40">
        <v>1.25</v>
      </c>
      <c r="J829" s="40">
        <v>17968</v>
      </c>
      <c r="K829" s="40" t="s">
        <v>71</v>
      </c>
      <c r="L829" s="42">
        <v>1.25</v>
      </c>
      <c r="M829" s="40" t="s">
        <v>721</v>
      </c>
      <c r="N829" s="40">
        <v>2010</v>
      </c>
      <c r="O829" s="40" t="s">
        <v>83</v>
      </c>
      <c r="P829" s="40" t="s">
        <v>126</v>
      </c>
      <c r="Q829" s="40" t="s">
        <v>624</v>
      </c>
      <c r="R829" s="40">
        <v>12</v>
      </c>
      <c r="S829" s="40" t="b">
        <v>0</v>
      </c>
      <c r="T829" s="40" t="b">
        <v>1</v>
      </c>
      <c r="U829" s="42">
        <f t="shared" si="12"/>
        <v>1.25</v>
      </c>
      <c r="V829" s="42">
        <v>0</v>
      </c>
      <c r="W829" s="42">
        <v>1.25</v>
      </c>
    </row>
    <row r="830" spans="4:23" x14ac:dyDescent="0.15">
      <c r="D830" s="43" t="s">
        <v>1533</v>
      </c>
      <c r="E830" s="43" t="s">
        <v>1588</v>
      </c>
      <c r="F830" s="43" t="s">
        <v>1589</v>
      </c>
      <c r="G830" s="43">
        <v>1</v>
      </c>
      <c r="H830" s="44">
        <v>40513.515972222223</v>
      </c>
      <c r="I830" s="43">
        <v>1.95</v>
      </c>
      <c r="J830" s="43">
        <v>17968</v>
      </c>
      <c r="K830" s="43" t="s">
        <v>71</v>
      </c>
      <c r="L830" s="45">
        <v>1.95</v>
      </c>
      <c r="M830" s="43" t="s">
        <v>721</v>
      </c>
      <c r="N830" s="43">
        <v>2010</v>
      </c>
      <c r="O830" s="43" t="s">
        <v>83</v>
      </c>
      <c r="P830" s="43" t="s">
        <v>126</v>
      </c>
      <c r="Q830" s="43" t="s">
        <v>624</v>
      </c>
      <c r="R830" s="43">
        <v>12</v>
      </c>
      <c r="S830" s="43" t="b">
        <v>0</v>
      </c>
      <c r="T830" s="43" t="b">
        <v>1</v>
      </c>
      <c r="U830" s="45">
        <f t="shared" si="12"/>
        <v>1.95</v>
      </c>
      <c r="V830" s="45">
        <v>0</v>
      </c>
      <c r="W830" s="45">
        <v>1.95</v>
      </c>
    </row>
    <row r="831" spans="4:23" x14ac:dyDescent="0.15">
      <c r="D831" s="40" t="s">
        <v>1533</v>
      </c>
      <c r="E831" s="40" t="s">
        <v>1590</v>
      </c>
      <c r="F831" s="40" t="s">
        <v>1591</v>
      </c>
      <c r="G831" s="40">
        <v>1</v>
      </c>
      <c r="H831" s="41">
        <v>40513.515972222223</v>
      </c>
      <c r="I831" s="40">
        <v>1.65</v>
      </c>
      <c r="J831" s="40">
        <v>17968</v>
      </c>
      <c r="K831" s="40" t="s">
        <v>71</v>
      </c>
      <c r="L831" s="42">
        <v>1.65</v>
      </c>
      <c r="M831" s="40" t="s">
        <v>721</v>
      </c>
      <c r="N831" s="40">
        <v>2010</v>
      </c>
      <c r="O831" s="40" t="s">
        <v>83</v>
      </c>
      <c r="P831" s="40" t="s">
        <v>126</v>
      </c>
      <c r="Q831" s="40" t="s">
        <v>624</v>
      </c>
      <c r="R831" s="40">
        <v>12</v>
      </c>
      <c r="S831" s="40" t="b">
        <v>0</v>
      </c>
      <c r="T831" s="40" t="b">
        <v>1</v>
      </c>
      <c r="U831" s="42">
        <f t="shared" si="12"/>
        <v>1.65</v>
      </c>
      <c r="V831" s="42">
        <v>0</v>
      </c>
      <c r="W831" s="42">
        <v>1.65</v>
      </c>
    </row>
    <row r="832" spans="4:23" x14ac:dyDescent="0.15">
      <c r="D832" s="43" t="s">
        <v>1533</v>
      </c>
      <c r="E832" s="43" t="s">
        <v>990</v>
      </c>
      <c r="F832" s="43" t="s">
        <v>991</v>
      </c>
      <c r="G832" s="43">
        <v>1</v>
      </c>
      <c r="H832" s="44">
        <v>40513.515972222223</v>
      </c>
      <c r="I832" s="43">
        <v>1.65</v>
      </c>
      <c r="J832" s="43">
        <v>17968</v>
      </c>
      <c r="K832" s="43" t="s">
        <v>71</v>
      </c>
      <c r="L832" s="45">
        <v>1.65</v>
      </c>
      <c r="M832" s="43" t="s">
        <v>721</v>
      </c>
      <c r="N832" s="43">
        <v>2010</v>
      </c>
      <c r="O832" s="43" t="s">
        <v>83</v>
      </c>
      <c r="P832" s="43" t="s">
        <v>126</v>
      </c>
      <c r="Q832" s="43" t="s">
        <v>624</v>
      </c>
      <c r="R832" s="43">
        <v>12</v>
      </c>
      <c r="S832" s="43" t="b">
        <v>0</v>
      </c>
      <c r="T832" s="43" t="b">
        <v>1</v>
      </c>
      <c r="U832" s="45">
        <f t="shared" si="12"/>
        <v>1.65</v>
      </c>
      <c r="V832" s="45">
        <v>0</v>
      </c>
      <c r="W832" s="45">
        <v>1.65</v>
      </c>
    </row>
    <row r="833" spans="4:23" x14ac:dyDescent="0.15">
      <c r="D833" s="40" t="s">
        <v>1533</v>
      </c>
      <c r="E833" s="40" t="s">
        <v>1592</v>
      </c>
      <c r="F833" s="40" t="s">
        <v>1593</v>
      </c>
      <c r="G833" s="40">
        <v>1</v>
      </c>
      <c r="H833" s="41">
        <v>40513.515972222223</v>
      </c>
      <c r="I833" s="40">
        <v>1.65</v>
      </c>
      <c r="J833" s="40">
        <v>17968</v>
      </c>
      <c r="K833" s="40" t="s">
        <v>71</v>
      </c>
      <c r="L833" s="42">
        <v>1.65</v>
      </c>
      <c r="M833" s="40" t="s">
        <v>721</v>
      </c>
      <c r="N833" s="40">
        <v>2010</v>
      </c>
      <c r="O833" s="40" t="s">
        <v>83</v>
      </c>
      <c r="P833" s="40" t="s">
        <v>126</v>
      </c>
      <c r="Q833" s="40" t="s">
        <v>624</v>
      </c>
      <c r="R833" s="40">
        <v>12</v>
      </c>
      <c r="S833" s="40" t="b">
        <v>0</v>
      </c>
      <c r="T833" s="40" t="b">
        <v>1</v>
      </c>
      <c r="U833" s="42">
        <f t="shared" si="12"/>
        <v>1.65</v>
      </c>
      <c r="V833" s="42">
        <v>0</v>
      </c>
      <c r="W833" s="42">
        <v>1.65</v>
      </c>
    </row>
    <row r="834" spans="4:23" x14ac:dyDescent="0.15">
      <c r="D834" s="43" t="s">
        <v>1533</v>
      </c>
      <c r="E834" s="43" t="s">
        <v>419</v>
      </c>
      <c r="F834" s="43" t="s">
        <v>420</v>
      </c>
      <c r="G834" s="43">
        <v>1</v>
      </c>
      <c r="H834" s="44">
        <v>40513.515972222223</v>
      </c>
      <c r="I834" s="43">
        <v>2.1</v>
      </c>
      <c r="J834" s="43">
        <v>17968</v>
      </c>
      <c r="K834" s="43" t="s">
        <v>71</v>
      </c>
      <c r="L834" s="45">
        <v>2.1</v>
      </c>
      <c r="M834" s="43" t="s">
        <v>721</v>
      </c>
      <c r="N834" s="43">
        <v>2010</v>
      </c>
      <c r="O834" s="43" t="s">
        <v>83</v>
      </c>
      <c r="P834" s="43" t="s">
        <v>126</v>
      </c>
      <c r="Q834" s="43" t="s">
        <v>624</v>
      </c>
      <c r="R834" s="43">
        <v>12</v>
      </c>
      <c r="S834" s="43" t="b">
        <v>0</v>
      </c>
      <c r="T834" s="43" t="b">
        <v>1</v>
      </c>
      <c r="U834" s="45">
        <f t="shared" si="12"/>
        <v>2.1</v>
      </c>
      <c r="V834" s="45">
        <v>0</v>
      </c>
      <c r="W834" s="45">
        <v>2.1</v>
      </c>
    </row>
    <row r="835" spans="4:23" x14ac:dyDescent="0.15">
      <c r="D835" s="40" t="s">
        <v>1533</v>
      </c>
      <c r="E835" s="40" t="s">
        <v>1594</v>
      </c>
      <c r="F835" s="40" t="s">
        <v>1595</v>
      </c>
      <c r="G835" s="40">
        <v>2</v>
      </c>
      <c r="H835" s="41">
        <v>40513.515972222223</v>
      </c>
      <c r="I835" s="40">
        <v>1.25</v>
      </c>
      <c r="J835" s="40">
        <v>17968</v>
      </c>
      <c r="K835" s="40" t="s">
        <v>71</v>
      </c>
      <c r="L835" s="42">
        <v>2.5</v>
      </c>
      <c r="M835" s="40" t="s">
        <v>721</v>
      </c>
      <c r="N835" s="40">
        <v>2010</v>
      </c>
      <c r="O835" s="40" t="s">
        <v>83</v>
      </c>
      <c r="P835" s="40" t="s">
        <v>126</v>
      </c>
      <c r="Q835" s="40" t="s">
        <v>624</v>
      </c>
      <c r="R835" s="40">
        <v>12</v>
      </c>
      <c r="S835" s="40" t="b">
        <v>0</v>
      </c>
      <c r="T835" s="40" t="b">
        <v>1</v>
      </c>
      <c r="U835" s="42">
        <f t="shared" si="12"/>
        <v>2.5</v>
      </c>
      <c r="V835" s="42">
        <v>0</v>
      </c>
      <c r="W835" s="42">
        <v>2.5</v>
      </c>
    </row>
    <row r="836" spans="4:23" x14ac:dyDescent="0.15">
      <c r="D836" s="43" t="s">
        <v>1533</v>
      </c>
      <c r="E836" s="43" t="s">
        <v>419</v>
      </c>
      <c r="F836" s="43" t="s">
        <v>420</v>
      </c>
      <c r="G836" s="43">
        <v>1</v>
      </c>
      <c r="H836" s="44">
        <v>40513.515972222223</v>
      </c>
      <c r="I836" s="43">
        <v>2.1</v>
      </c>
      <c r="J836" s="43">
        <v>17968</v>
      </c>
      <c r="K836" s="43" t="s">
        <v>71</v>
      </c>
      <c r="L836" s="45">
        <v>2.1</v>
      </c>
      <c r="M836" s="43" t="s">
        <v>721</v>
      </c>
      <c r="N836" s="43">
        <v>2010</v>
      </c>
      <c r="O836" s="43" t="s">
        <v>83</v>
      </c>
      <c r="P836" s="43" t="s">
        <v>126</v>
      </c>
      <c r="Q836" s="43" t="s">
        <v>624</v>
      </c>
      <c r="R836" s="43">
        <v>12</v>
      </c>
      <c r="S836" s="43" t="b">
        <v>0</v>
      </c>
      <c r="T836" s="43" t="b">
        <v>1</v>
      </c>
      <c r="U836" s="45">
        <f t="shared" si="12"/>
        <v>2.1</v>
      </c>
      <c r="V836" s="45">
        <v>0</v>
      </c>
      <c r="W836" s="45">
        <v>2.1</v>
      </c>
    </row>
    <row r="837" spans="4:23" x14ac:dyDescent="0.15">
      <c r="D837" s="40" t="s">
        <v>1533</v>
      </c>
      <c r="E837" s="40" t="s">
        <v>419</v>
      </c>
      <c r="F837" s="40" t="s">
        <v>420</v>
      </c>
      <c r="G837" s="40">
        <v>3</v>
      </c>
      <c r="H837" s="41">
        <v>40513.515972222223</v>
      </c>
      <c r="I837" s="40">
        <v>2.1</v>
      </c>
      <c r="J837" s="40">
        <v>17968</v>
      </c>
      <c r="K837" s="40" t="s">
        <v>71</v>
      </c>
      <c r="L837" s="42">
        <v>6.3000000000000007</v>
      </c>
      <c r="M837" s="40" t="s">
        <v>721</v>
      </c>
      <c r="N837" s="40">
        <v>2010</v>
      </c>
      <c r="O837" s="40" t="s">
        <v>83</v>
      </c>
      <c r="P837" s="40" t="s">
        <v>126</v>
      </c>
      <c r="Q837" s="40" t="s">
        <v>624</v>
      </c>
      <c r="R837" s="40">
        <v>12</v>
      </c>
      <c r="S837" s="40" t="b">
        <v>0</v>
      </c>
      <c r="T837" s="40" t="b">
        <v>1</v>
      </c>
      <c r="U837" s="42">
        <f t="shared" ref="U837:U900" si="13">IF(T837,L837,0)</f>
        <v>6.3000000000000007</v>
      </c>
      <c r="V837" s="42">
        <v>0</v>
      </c>
      <c r="W837" s="42">
        <v>6.3000000000000007</v>
      </c>
    </row>
    <row r="838" spans="4:23" x14ac:dyDescent="0.15">
      <c r="D838" s="43" t="s">
        <v>1533</v>
      </c>
      <c r="E838" s="43" t="s">
        <v>463</v>
      </c>
      <c r="F838" s="43" t="s">
        <v>464</v>
      </c>
      <c r="G838" s="43">
        <v>2</v>
      </c>
      <c r="H838" s="44">
        <v>40513.515972222223</v>
      </c>
      <c r="I838" s="43">
        <v>1.49</v>
      </c>
      <c r="J838" s="43">
        <v>17968</v>
      </c>
      <c r="K838" s="43" t="s">
        <v>71</v>
      </c>
      <c r="L838" s="45">
        <v>2.98</v>
      </c>
      <c r="M838" s="43" t="s">
        <v>721</v>
      </c>
      <c r="N838" s="43">
        <v>2010</v>
      </c>
      <c r="O838" s="43" t="s">
        <v>83</v>
      </c>
      <c r="P838" s="43" t="s">
        <v>126</v>
      </c>
      <c r="Q838" s="43" t="s">
        <v>624</v>
      </c>
      <c r="R838" s="43">
        <v>12</v>
      </c>
      <c r="S838" s="43" t="b">
        <v>0</v>
      </c>
      <c r="T838" s="43" t="b">
        <v>1</v>
      </c>
      <c r="U838" s="45">
        <f t="shared" si="13"/>
        <v>2.98</v>
      </c>
      <c r="V838" s="45">
        <v>0</v>
      </c>
      <c r="W838" s="45">
        <v>2.98</v>
      </c>
    </row>
    <row r="839" spans="4:23" x14ac:dyDescent="0.15">
      <c r="D839" s="40" t="s">
        <v>1533</v>
      </c>
      <c r="E839" s="40" t="s">
        <v>1596</v>
      </c>
      <c r="F839" s="40" t="s">
        <v>1597</v>
      </c>
      <c r="G839" s="40">
        <v>1</v>
      </c>
      <c r="H839" s="41">
        <v>40513.515972222223</v>
      </c>
      <c r="I839" s="40">
        <v>2.1</v>
      </c>
      <c r="J839" s="40">
        <v>17968</v>
      </c>
      <c r="K839" s="40" t="s">
        <v>71</v>
      </c>
      <c r="L839" s="42">
        <v>2.1</v>
      </c>
      <c r="M839" s="40" t="s">
        <v>721</v>
      </c>
      <c r="N839" s="40">
        <v>2010</v>
      </c>
      <c r="O839" s="40" t="s">
        <v>83</v>
      </c>
      <c r="P839" s="40" t="s">
        <v>126</v>
      </c>
      <c r="Q839" s="40" t="s">
        <v>624</v>
      </c>
      <c r="R839" s="40">
        <v>12</v>
      </c>
      <c r="S839" s="40" t="b">
        <v>0</v>
      </c>
      <c r="T839" s="40" t="b">
        <v>1</v>
      </c>
      <c r="U839" s="42">
        <f t="shared" si="13"/>
        <v>2.1</v>
      </c>
      <c r="V839" s="42">
        <v>0</v>
      </c>
      <c r="W839" s="42">
        <v>2.1</v>
      </c>
    </row>
    <row r="840" spans="4:23" x14ac:dyDescent="0.15">
      <c r="D840" s="43" t="s">
        <v>1533</v>
      </c>
      <c r="E840" s="43" t="s">
        <v>1568</v>
      </c>
      <c r="F840" s="43" t="s">
        <v>1569</v>
      </c>
      <c r="G840" s="43">
        <v>6</v>
      </c>
      <c r="H840" s="44">
        <v>40513.515972222223</v>
      </c>
      <c r="I840" s="43">
        <v>0.85</v>
      </c>
      <c r="J840" s="43">
        <v>17968</v>
      </c>
      <c r="K840" s="43" t="s">
        <v>71</v>
      </c>
      <c r="L840" s="45">
        <v>5.0999999999999996</v>
      </c>
      <c r="M840" s="43" t="s">
        <v>721</v>
      </c>
      <c r="N840" s="43">
        <v>2010</v>
      </c>
      <c r="O840" s="43" t="s">
        <v>83</v>
      </c>
      <c r="P840" s="43" t="s">
        <v>126</v>
      </c>
      <c r="Q840" s="43" t="s">
        <v>624</v>
      </c>
      <c r="R840" s="43">
        <v>12</v>
      </c>
      <c r="S840" s="43" t="b">
        <v>0</v>
      </c>
      <c r="T840" s="43" t="b">
        <v>1</v>
      </c>
      <c r="U840" s="45">
        <f t="shared" si="13"/>
        <v>5.0999999999999996</v>
      </c>
      <c r="V840" s="45">
        <v>0</v>
      </c>
      <c r="W840" s="45">
        <v>5.0999999999999996</v>
      </c>
    </row>
    <row r="841" spans="4:23" x14ac:dyDescent="0.15">
      <c r="D841" s="40" t="s">
        <v>1533</v>
      </c>
      <c r="E841" s="40" t="s">
        <v>1598</v>
      </c>
      <c r="F841" s="40" t="s">
        <v>1599</v>
      </c>
      <c r="G841" s="40">
        <v>1</v>
      </c>
      <c r="H841" s="41">
        <v>40513.515972222223</v>
      </c>
      <c r="I841" s="40">
        <v>2.5499999999999998</v>
      </c>
      <c r="J841" s="40">
        <v>17968</v>
      </c>
      <c r="K841" s="40" t="s">
        <v>71</v>
      </c>
      <c r="L841" s="42">
        <v>2.5499999999999998</v>
      </c>
      <c r="M841" s="40" t="s">
        <v>721</v>
      </c>
      <c r="N841" s="40">
        <v>2010</v>
      </c>
      <c r="O841" s="40" t="s">
        <v>83</v>
      </c>
      <c r="P841" s="40" t="s">
        <v>126</v>
      </c>
      <c r="Q841" s="40" t="s">
        <v>624</v>
      </c>
      <c r="R841" s="40">
        <v>12</v>
      </c>
      <c r="S841" s="40" t="b">
        <v>0</v>
      </c>
      <c r="T841" s="40" t="b">
        <v>1</v>
      </c>
      <c r="U841" s="42">
        <f t="shared" si="13"/>
        <v>2.5499999999999998</v>
      </c>
      <c r="V841" s="42">
        <v>0</v>
      </c>
      <c r="W841" s="42">
        <v>2.5499999999999998</v>
      </c>
    </row>
    <row r="842" spans="4:23" x14ac:dyDescent="0.15">
      <c r="D842" s="43" t="s">
        <v>1533</v>
      </c>
      <c r="E842" s="43" t="s">
        <v>323</v>
      </c>
      <c r="F842" s="43" t="s">
        <v>324</v>
      </c>
      <c r="G842" s="43">
        <v>1</v>
      </c>
      <c r="H842" s="44">
        <v>40513.515972222223</v>
      </c>
      <c r="I842" s="43">
        <v>0.55000000000000004</v>
      </c>
      <c r="J842" s="43">
        <v>17968</v>
      </c>
      <c r="K842" s="43" t="s">
        <v>71</v>
      </c>
      <c r="L842" s="45">
        <v>0.55000000000000004</v>
      </c>
      <c r="M842" s="43" t="s">
        <v>721</v>
      </c>
      <c r="N842" s="43">
        <v>2010</v>
      </c>
      <c r="O842" s="43" t="s">
        <v>83</v>
      </c>
      <c r="P842" s="43" t="s">
        <v>126</v>
      </c>
      <c r="Q842" s="43" t="s">
        <v>624</v>
      </c>
      <c r="R842" s="43">
        <v>12</v>
      </c>
      <c r="S842" s="43" t="b">
        <v>0</v>
      </c>
      <c r="T842" s="43" t="b">
        <v>1</v>
      </c>
      <c r="U842" s="45">
        <f t="shared" si="13"/>
        <v>0.55000000000000004</v>
      </c>
      <c r="V842" s="45">
        <v>0</v>
      </c>
      <c r="W842" s="45">
        <v>0.55000000000000004</v>
      </c>
    </row>
    <row r="843" spans="4:23" x14ac:dyDescent="0.15">
      <c r="D843" s="40" t="s">
        <v>1533</v>
      </c>
      <c r="E843" s="40" t="s">
        <v>323</v>
      </c>
      <c r="F843" s="40" t="s">
        <v>324</v>
      </c>
      <c r="G843" s="40">
        <v>2</v>
      </c>
      <c r="H843" s="41">
        <v>40513.515972222223</v>
      </c>
      <c r="I843" s="40">
        <v>0.55000000000000004</v>
      </c>
      <c r="J843" s="40">
        <v>17968</v>
      </c>
      <c r="K843" s="40" t="s">
        <v>71</v>
      </c>
      <c r="L843" s="42">
        <v>1.1000000000000001</v>
      </c>
      <c r="M843" s="40" t="s">
        <v>721</v>
      </c>
      <c r="N843" s="40">
        <v>2010</v>
      </c>
      <c r="O843" s="40" t="s">
        <v>83</v>
      </c>
      <c r="P843" s="40" t="s">
        <v>126</v>
      </c>
      <c r="Q843" s="40" t="s">
        <v>624</v>
      </c>
      <c r="R843" s="40">
        <v>12</v>
      </c>
      <c r="S843" s="40" t="b">
        <v>0</v>
      </c>
      <c r="T843" s="40" t="b">
        <v>1</v>
      </c>
      <c r="U843" s="42">
        <f t="shared" si="13"/>
        <v>1.1000000000000001</v>
      </c>
      <c r="V843" s="42">
        <v>0</v>
      </c>
      <c r="W843" s="42">
        <v>1.1000000000000001</v>
      </c>
    </row>
    <row r="844" spans="4:23" x14ac:dyDescent="0.15">
      <c r="D844" s="43" t="s">
        <v>1533</v>
      </c>
      <c r="E844" s="43" t="s">
        <v>1453</v>
      </c>
      <c r="F844" s="43" t="s">
        <v>1454</v>
      </c>
      <c r="G844" s="43">
        <v>3</v>
      </c>
      <c r="H844" s="44">
        <v>40513.515972222223</v>
      </c>
      <c r="I844" s="43">
        <v>1.25</v>
      </c>
      <c r="J844" s="43">
        <v>17968</v>
      </c>
      <c r="K844" s="43" t="s">
        <v>71</v>
      </c>
      <c r="L844" s="45">
        <v>3.75</v>
      </c>
      <c r="M844" s="43" t="s">
        <v>721</v>
      </c>
      <c r="N844" s="43">
        <v>2010</v>
      </c>
      <c r="O844" s="43" t="s">
        <v>83</v>
      </c>
      <c r="P844" s="43" t="s">
        <v>126</v>
      </c>
      <c r="Q844" s="43" t="s">
        <v>624</v>
      </c>
      <c r="R844" s="43">
        <v>12</v>
      </c>
      <c r="S844" s="43" t="b">
        <v>0</v>
      </c>
      <c r="T844" s="43" t="b">
        <v>1</v>
      </c>
      <c r="U844" s="45">
        <f t="shared" si="13"/>
        <v>3.75</v>
      </c>
      <c r="V844" s="45">
        <v>0</v>
      </c>
      <c r="W844" s="45">
        <v>3.75</v>
      </c>
    </row>
    <row r="845" spans="4:23" x14ac:dyDescent="0.15">
      <c r="D845" s="40" t="s">
        <v>1533</v>
      </c>
      <c r="E845" s="40" t="s">
        <v>1528</v>
      </c>
      <c r="F845" s="40" t="s">
        <v>1529</v>
      </c>
      <c r="G845" s="40">
        <v>1</v>
      </c>
      <c r="H845" s="41">
        <v>40513.515972222223</v>
      </c>
      <c r="I845" s="40">
        <v>1.25</v>
      </c>
      <c r="J845" s="40">
        <v>17968</v>
      </c>
      <c r="K845" s="40" t="s">
        <v>71</v>
      </c>
      <c r="L845" s="42">
        <v>1.25</v>
      </c>
      <c r="M845" s="40" t="s">
        <v>721</v>
      </c>
      <c r="N845" s="40">
        <v>2010</v>
      </c>
      <c r="O845" s="40" t="s">
        <v>83</v>
      </c>
      <c r="P845" s="40" t="s">
        <v>126</v>
      </c>
      <c r="Q845" s="40" t="s">
        <v>624</v>
      </c>
      <c r="R845" s="40">
        <v>12</v>
      </c>
      <c r="S845" s="40" t="b">
        <v>0</v>
      </c>
      <c r="T845" s="40" t="b">
        <v>1</v>
      </c>
      <c r="U845" s="42">
        <f t="shared" si="13"/>
        <v>1.25</v>
      </c>
      <c r="V845" s="42">
        <v>0</v>
      </c>
      <c r="W845" s="42">
        <v>1.25</v>
      </c>
    </row>
    <row r="846" spans="4:23" x14ac:dyDescent="0.15">
      <c r="D846" s="43" t="s">
        <v>1533</v>
      </c>
      <c r="E846" s="43" t="s">
        <v>1099</v>
      </c>
      <c r="F846" s="43" t="s">
        <v>1100</v>
      </c>
      <c r="G846" s="43">
        <v>1</v>
      </c>
      <c r="H846" s="44">
        <v>40513.515972222223</v>
      </c>
      <c r="I846" s="43">
        <v>1.25</v>
      </c>
      <c r="J846" s="43">
        <v>17968</v>
      </c>
      <c r="K846" s="43" t="s">
        <v>71</v>
      </c>
      <c r="L846" s="45">
        <v>1.25</v>
      </c>
      <c r="M846" s="43" t="s">
        <v>721</v>
      </c>
      <c r="N846" s="43">
        <v>2010</v>
      </c>
      <c r="O846" s="43" t="s">
        <v>83</v>
      </c>
      <c r="P846" s="43" t="s">
        <v>126</v>
      </c>
      <c r="Q846" s="43" t="s">
        <v>624</v>
      </c>
      <c r="R846" s="43">
        <v>12</v>
      </c>
      <c r="S846" s="43" t="b">
        <v>0</v>
      </c>
      <c r="T846" s="43" t="b">
        <v>1</v>
      </c>
      <c r="U846" s="45">
        <f t="shared" si="13"/>
        <v>1.25</v>
      </c>
      <c r="V846" s="45">
        <v>0</v>
      </c>
      <c r="W846" s="45">
        <v>1.25</v>
      </c>
    </row>
    <row r="847" spans="4:23" x14ac:dyDescent="0.15">
      <c r="D847" s="40" t="s">
        <v>1533</v>
      </c>
      <c r="E847" s="40" t="s">
        <v>1313</v>
      </c>
      <c r="F847" s="40" t="s">
        <v>1314</v>
      </c>
      <c r="G847" s="40">
        <v>1</v>
      </c>
      <c r="H847" s="41">
        <v>40513.515972222223</v>
      </c>
      <c r="I847" s="40">
        <v>1.65</v>
      </c>
      <c r="J847" s="40">
        <v>17968</v>
      </c>
      <c r="K847" s="40" t="s">
        <v>71</v>
      </c>
      <c r="L847" s="42">
        <v>1.65</v>
      </c>
      <c r="M847" s="40" t="s">
        <v>721</v>
      </c>
      <c r="N847" s="40">
        <v>2010</v>
      </c>
      <c r="O847" s="40" t="s">
        <v>83</v>
      </c>
      <c r="P847" s="40" t="s">
        <v>126</v>
      </c>
      <c r="Q847" s="40" t="s">
        <v>624</v>
      </c>
      <c r="R847" s="40">
        <v>12</v>
      </c>
      <c r="S847" s="40" t="b">
        <v>0</v>
      </c>
      <c r="T847" s="40" t="b">
        <v>1</v>
      </c>
      <c r="U847" s="42">
        <f t="shared" si="13"/>
        <v>1.65</v>
      </c>
      <c r="V847" s="42">
        <v>0</v>
      </c>
      <c r="W847" s="42">
        <v>1.65</v>
      </c>
    </row>
    <row r="848" spans="4:23" x14ac:dyDescent="0.15">
      <c r="D848" s="43" t="s">
        <v>1533</v>
      </c>
      <c r="E848" s="43" t="s">
        <v>1572</v>
      </c>
      <c r="F848" s="43" t="s">
        <v>1573</v>
      </c>
      <c r="G848" s="43">
        <v>1</v>
      </c>
      <c r="H848" s="44">
        <v>40513.515972222223</v>
      </c>
      <c r="I848" s="43">
        <v>1.45</v>
      </c>
      <c r="J848" s="43">
        <v>17968</v>
      </c>
      <c r="K848" s="43" t="s">
        <v>71</v>
      </c>
      <c r="L848" s="45">
        <v>1.45</v>
      </c>
      <c r="M848" s="43" t="s">
        <v>721</v>
      </c>
      <c r="N848" s="43">
        <v>2010</v>
      </c>
      <c r="O848" s="43" t="s">
        <v>83</v>
      </c>
      <c r="P848" s="43" t="s">
        <v>126</v>
      </c>
      <c r="Q848" s="43" t="s">
        <v>624</v>
      </c>
      <c r="R848" s="43">
        <v>12</v>
      </c>
      <c r="S848" s="43" t="b">
        <v>0</v>
      </c>
      <c r="T848" s="43" t="b">
        <v>1</v>
      </c>
      <c r="U848" s="45">
        <f t="shared" si="13"/>
        <v>1.45</v>
      </c>
      <c r="V848" s="45">
        <v>0</v>
      </c>
      <c r="W848" s="45">
        <v>1.45</v>
      </c>
    </row>
    <row r="849" spans="4:23" x14ac:dyDescent="0.15">
      <c r="D849" s="40" t="s">
        <v>1533</v>
      </c>
      <c r="E849" s="40" t="s">
        <v>1600</v>
      </c>
      <c r="F849" s="40" t="s">
        <v>1601</v>
      </c>
      <c r="G849" s="40">
        <v>3</v>
      </c>
      <c r="H849" s="41">
        <v>40513.515972222223</v>
      </c>
      <c r="I849" s="40">
        <v>0.85</v>
      </c>
      <c r="J849" s="40">
        <v>17968</v>
      </c>
      <c r="K849" s="40" t="s">
        <v>71</v>
      </c>
      <c r="L849" s="42">
        <v>2.5499999999999998</v>
      </c>
      <c r="M849" s="40" t="s">
        <v>721</v>
      </c>
      <c r="N849" s="40">
        <v>2010</v>
      </c>
      <c r="O849" s="40" t="s">
        <v>83</v>
      </c>
      <c r="P849" s="40" t="s">
        <v>126</v>
      </c>
      <c r="Q849" s="40" t="s">
        <v>624</v>
      </c>
      <c r="R849" s="40">
        <v>12</v>
      </c>
      <c r="S849" s="40" t="b">
        <v>0</v>
      </c>
      <c r="T849" s="40" t="b">
        <v>1</v>
      </c>
      <c r="U849" s="42">
        <f t="shared" si="13"/>
        <v>2.5499999999999998</v>
      </c>
      <c r="V849" s="42">
        <v>0</v>
      </c>
      <c r="W849" s="42">
        <v>2.5499999999999998</v>
      </c>
    </row>
    <row r="850" spans="4:23" x14ac:dyDescent="0.15">
      <c r="D850" s="43" t="s">
        <v>1533</v>
      </c>
      <c r="E850" s="43" t="s">
        <v>1602</v>
      </c>
      <c r="F850" s="43" t="s">
        <v>1603</v>
      </c>
      <c r="G850" s="43">
        <v>5</v>
      </c>
      <c r="H850" s="44">
        <v>40513.515972222223</v>
      </c>
      <c r="I850" s="43">
        <v>0.85</v>
      </c>
      <c r="J850" s="43">
        <v>17968</v>
      </c>
      <c r="K850" s="43" t="s">
        <v>71</v>
      </c>
      <c r="L850" s="45">
        <v>4.25</v>
      </c>
      <c r="M850" s="43" t="s">
        <v>721</v>
      </c>
      <c r="N850" s="43">
        <v>2010</v>
      </c>
      <c r="O850" s="43" t="s">
        <v>83</v>
      </c>
      <c r="P850" s="43" t="s">
        <v>126</v>
      </c>
      <c r="Q850" s="43" t="s">
        <v>624</v>
      </c>
      <c r="R850" s="43">
        <v>12</v>
      </c>
      <c r="S850" s="43" t="b">
        <v>0</v>
      </c>
      <c r="T850" s="43" t="b">
        <v>1</v>
      </c>
      <c r="U850" s="45">
        <f t="shared" si="13"/>
        <v>4.25</v>
      </c>
      <c r="V850" s="45">
        <v>0</v>
      </c>
      <c r="W850" s="45">
        <v>4.25</v>
      </c>
    </row>
    <row r="851" spans="4:23" x14ac:dyDescent="0.15">
      <c r="D851" s="40" t="s">
        <v>1533</v>
      </c>
      <c r="E851" s="40" t="s">
        <v>1604</v>
      </c>
      <c r="F851" s="40" t="s">
        <v>1605</v>
      </c>
      <c r="G851" s="40">
        <v>5</v>
      </c>
      <c r="H851" s="41">
        <v>40513.515972222223</v>
      </c>
      <c r="I851" s="40">
        <v>1.65</v>
      </c>
      <c r="J851" s="40">
        <v>17968</v>
      </c>
      <c r="K851" s="40" t="s">
        <v>71</v>
      </c>
      <c r="L851" s="42">
        <v>8.25</v>
      </c>
      <c r="M851" s="40" t="s">
        <v>721</v>
      </c>
      <c r="N851" s="40">
        <v>2010</v>
      </c>
      <c r="O851" s="40" t="s">
        <v>83</v>
      </c>
      <c r="P851" s="40" t="s">
        <v>126</v>
      </c>
      <c r="Q851" s="40" t="s">
        <v>624</v>
      </c>
      <c r="R851" s="40">
        <v>12</v>
      </c>
      <c r="S851" s="40" t="b">
        <v>0</v>
      </c>
      <c r="T851" s="40" t="b">
        <v>1</v>
      </c>
      <c r="U851" s="42">
        <f t="shared" si="13"/>
        <v>8.25</v>
      </c>
      <c r="V851" s="42">
        <v>0</v>
      </c>
      <c r="W851" s="42">
        <v>8.25</v>
      </c>
    </row>
    <row r="852" spans="4:23" x14ac:dyDescent="0.15">
      <c r="D852" s="43" t="s">
        <v>1533</v>
      </c>
      <c r="E852" s="43" t="s">
        <v>1606</v>
      </c>
      <c r="F852" s="43" t="s">
        <v>1607</v>
      </c>
      <c r="G852" s="43">
        <v>2</v>
      </c>
      <c r="H852" s="44">
        <v>40513.515972222223</v>
      </c>
      <c r="I852" s="43">
        <v>4.95</v>
      </c>
      <c r="J852" s="43">
        <v>17968</v>
      </c>
      <c r="K852" s="43" t="s">
        <v>71</v>
      </c>
      <c r="L852" s="45">
        <v>9.9</v>
      </c>
      <c r="M852" s="43" t="s">
        <v>721</v>
      </c>
      <c r="N852" s="43">
        <v>2010</v>
      </c>
      <c r="O852" s="43" t="s">
        <v>83</v>
      </c>
      <c r="P852" s="43" t="s">
        <v>126</v>
      </c>
      <c r="Q852" s="43" t="s">
        <v>624</v>
      </c>
      <c r="R852" s="43">
        <v>12</v>
      </c>
      <c r="S852" s="43" t="b">
        <v>0</v>
      </c>
      <c r="T852" s="43" t="b">
        <v>1</v>
      </c>
      <c r="U852" s="45">
        <f t="shared" si="13"/>
        <v>9.9</v>
      </c>
      <c r="V852" s="45">
        <v>0</v>
      </c>
      <c r="W852" s="45">
        <v>9.9</v>
      </c>
    </row>
    <row r="853" spans="4:23" x14ac:dyDescent="0.15">
      <c r="D853" s="40" t="s">
        <v>1533</v>
      </c>
      <c r="E853" s="40" t="s">
        <v>1608</v>
      </c>
      <c r="F853" s="40" t="s">
        <v>1609</v>
      </c>
      <c r="G853" s="40">
        <v>1</v>
      </c>
      <c r="H853" s="41">
        <v>40513.515972222223</v>
      </c>
      <c r="I853" s="40">
        <v>2.95</v>
      </c>
      <c r="J853" s="40">
        <v>17968</v>
      </c>
      <c r="K853" s="40" t="s">
        <v>71</v>
      </c>
      <c r="L853" s="42">
        <v>2.95</v>
      </c>
      <c r="M853" s="40" t="s">
        <v>721</v>
      </c>
      <c r="N853" s="40">
        <v>2010</v>
      </c>
      <c r="O853" s="40" t="s">
        <v>83</v>
      </c>
      <c r="P853" s="40" t="s">
        <v>126</v>
      </c>
      <c r="Q853" s="40" t="s">
        <v>624</v>
      </c>
      <c r="R853" s="40">
        <v>12</v>
      </c>
      <c r="S853" s="40" t="b">
        <v>0</v>
      </c>
      <c r="T853" s="40" t="b">
        <v>1</v>
      </c>
      <c r="U853" s="42">
        <f t="shared" si="13"/>
        <v>2.95</v>
      </c>
      <c r="V853" s="42">
        <v>0</v>
      </c>
      <c r="W853" s="42">
        <v>2.95</v>
      </c>
    </row>
    <row r="854" spans="4:23" x14ac:dyDescent="0.15">
      <c r="D854" s="43" t="s">
        <v>1533</v>
      </c>
      <c r="E854" s="43" t="s">
        <v>1610</v>
      </c>
      <c r="F854" s="43" t="s">
        <v>1611</v>
      </c>
      <c r="G854" s="43">
        <v>1</v>
      </c>
      <c r="H854" s="44">
        <v>40513.515972222223</v>
      </c>
      <c r="I854" s="43">
        <v>1.65</v>
      </c>
      <c r="J854" s="43">
        <v>17968</v>
      </c>
      <c r="K854" s="43" t="s">
        <v>71</v>
      </c>
      <c r="L854" s="45">
        <v>1.65</v>
      </c>
      <c r="M854" s="43" t="s">
        <v>721</v>
      </c>
      <c r="N854" s="43">
        <v>2010</v>
      </c>
      <c r="O854" s="43" t="s">
        <v>83</v>
      </c>
      <c r="P854" s="43" t="s">
        <v>126</v>
      </c>
      <c r="Q854" s="43" t="s">
        <v>624</v>
      </c>
      <c r="R854" s="43">
        <v>12</v>
      </c>
      <c r="S854" s="43" t="b">
        <v>0</v>
      </c>
      <c r="T854" s="43" t="b">
        <v>1</v>
      </c>
      <c r="U854" s="45">
        <f t="shared" si="13"/>
        <v>1.65</v>
      </c>
      <c r="V854" s="45">
        <v>0</v>
      </c>
      <c r="W854" s="45">
        <v>1.65</v>
      </c>
    </row>
    <row r="855" spans="4:23" x14ac:dyDescent="0.15">
      <c r="D855" s="40" t="s">
        <v>1533</v>
      </c>
      <c r="E855" s="40" t="s">
        <v>1061</v>
      </c>
      <c r="F855" s="40" t="s">
        <v>1062</v>
      </c>
      <c r="G855" s="40">
        <v>1</v>
      </c>
      <c r="H855" s="41">
        <v>40513.515972222223</v>
      </c>
      <c r="I855" s="40">
        <v>1.65</v>
      </c>
      <c r="J855" s="40">
        <v>17968</v>
      </c>
      <c r="K855" s="40" t="s">
        <v>71</v>
      </c>
      <c r="L855" s="42">
        <v>1.65</v>
      </c>
      <c r="M855" s="40" t="s">
        <v>721</v>
      </c>
      <c r="N855" s="40">
        <v>2010</v>
      </c>
      <c r="O855" s="40" t="s">
        <v>83</v>
      </c>
      <c r="P855" s="40" t="s">
        <v>126</v>
      </c>
      <c r="Q855" s="40" t="s">
        <v>624</v>
      </c>
      <c r="R855" s="40">
        <v>12</v>
      </c>
      <c r="S855" s="40" t="b">
        <v>0</v>
      </c>
      <c r="T855" s="40" t="b">
        <v>1</v>
      </c>
      <c r="U855" s="42">
        <f t="shared" si="13"/>
        <v>1.65</v>
      </c>
      <c r="V855" s="42">
        <v>0</v>
      </c>
      <c r="W855" s="42">
        <v>1.65</v>
      </c>
    </row>
    <row r="856" spans="4:23" x14ac:dyDescent="0.15">
      <c r="D856" s="43" t="s">
        <v>1533</v>
      </c>
      <c r="E856" s="43" t="s">
        <v>1612</v>
      </c>
      <c r="F856" s="43" t="s">
        <v>1613</v>
      </c>
      <c r="G856" s="43">
        <v>1</v>
      </c>
      <c r="H856" s="44">
        <v>40513.515972222223</v>
      </c>
      <c r="I856" s="43">
        <v>1.65</v>
      </c>
      <c r="J856" s="43">
        <v>17968</v>
      </c>
      <c r="K856" s="43" t="s">
        <v>71</v>
      </c>
      <c r="L856" s="45">
        <v>1.65</v>
      </c>
      <c r="M856" s="43" t="s">
        <v>721</v>
      </c>
      <c r="N856" s="43">
        <v>2010</v>
      </c>
      <c r="O856" s="43" t="s">
        <v>83</v>
      </c>
      <c r="P856" s="43" t="s">
        <v>126</v>
      </c>
      <c r="Q856" s="43" t="s">
        <v>624</v>
      </c>
      <c r="R856" s="43">
        <v>12</v>
      </c>
      <c r="S856" s="43" t="b">
        <v>0</v>
      </c>
      <c r="T856" s="43" t="b">
        <v>1</v>
      </c>
      <c r="U856" s="45">
        <f t="shared" si="13"/>
        <v>1.65</v>
      </c>
      <c r="V856" s="45">
        <v>0</v>
      </c>
      <c r="W856" s="45">
        <v>1.65</v>
      </c>
    </row>
    <row r="857" spans="4:23" x14ac:dyDescent="0.15">
      <c r="D857" s="40" t="s">
        <v>1533</v>
      </c>
      <c r="E857" s="40" t="s">
        <v>1562</v>
      </c>
      <c r="F857" s="40" t="s">
        <v>1563</v>
      </c>
      <c r="G857" s="40">
        <v>1</v>
      </c>
      <c r="H857" s="41">
        <v>40513.515972222223</v>
      </c>
      <c r="I857" s="40">
        <v>2.95</v>
      </c>
      <c r="J857" s="40">
        <v>17968</v>
      </c>
      <c r="K857" s="40" t="s">
        <v>71</v>
      </c>
      <c r="L857" s="42">
        <v>2.95</v>
      </c>
      <c r="M857" s="40" t="s">
        <v>721</v>
      </c>
      <c r="N857" s="40">
        <v>2010</v>
      </c>
      <c r="O857" s="40" t="s">
        <v>83</v>
      </c>
      <c r="P857" s="40" t="s">
        <v>126</v>
      </c>
      <c r="Q857" s="40" t="s">
        <v>624</v>
      </c>
      <c r="R857" s="40">
        <v>12</v>
      </c>
      <c r="S857" s="40" t="b">
        <v>0</v>
      </c>
      <c r="T857" s="40" t="b">
        <v>1</v>
      </c>
      <c r="U857" s="42">
        <f t="shared" si="13"/>
        <v>2.95</v>
      </c>
      <c r="V857" s="42">
        <v>0</v>
      </c>
      <c r="W857" s="42">
        <v>2.95</v>
      </c>
    </row>
    <row r="858" spans="4:23" x14ac:dyDescent="0.15">
      <c r="D858" s="43" t="s">
        <v>1533</v>
      </c>
      <c r="E858" s="43" t="s">
        <v>1317</v>
      </c>
      <c r="F858" s="43" t="s">
        <v>1318</v>
      </c>
      <c r="G858" s="43">
        <v>1</v>
      </c>
      <c r="H858" s="44">
        <v>40513.515972222223</v>
      </c>
      <c r="I858" s="43">
        <v>2.95</v>
      </c>
      <c r="J858" s="43">
        <v>17968</v>
      </c>
      <c r="K858" s="43" t="s">
        <v>71</v>
      </c>
      <c r="L858" s="45">
        <v>2.95</v>
      </c>
      <c r="M858" s="43" t="s">
        <v>721</v>
      </c>
      <c r="N858" s="43">
        <v>2010</v>
      </c>
      <c r="O858" s="43" t="s">
        <v>83</v>
      </c>
      <c r="P858" s="43" t="s">
        <v>126</v>
      </c>
      <c r="Q858" s="43" t="s">
        <v>624</v>
      </c>
      <c r="R858" s="43">
        <v>12</v>
      </c>
      <c r="S858" s="43" t="b">
        <v>0</v>
      </c>
      <c r="T858" s="43" t="b">
        <v>1</v>
      </c>
      <c r="U858" s="45">
        <f t="shared" si="13"/>
        <v>2.95</v>
      </c>
      <c r="V858" s="45">
        <v>0</v>
      </c>
      <c r="W858" s="45">
        <v>2.95</v>
      </c>
    </row>
    <row r="859" spans="4:23" x14ac:dyDescent="0.15">
      <c r="D859" s="40" t="s">
        <v>1533</v>
      </c>
      <c r="E859" s="40" t="s">
        <v>1614</v>
      </c>
      <c r="F859" s="40" t="s">
        <v>1615</v>
      </c>
      <c r="G859" s="40">
        <v>1</v>
      </c>
      <c r="H859" s="41">
        <v>40513.515972222223</v>
      </c>
      <c r="I859" s="40">
        <v>7.95</v>
      </c>
      <c r="J859" s="40">
        <v>17968</v>
      </c>
      <c r="K859" s="40" t="s">
        <v>71</v>
      </c>
      <c r="L859" s="42">
        <v>7.95</v>
      </c>
      <c r="M859" s="40" t="s">
        <v>721</v>
      </c>
      <c r="N859" s="40">
        <v>2010</v>
      </c>
      <c r="O859" s="40" t="s">
        <v>83</v>
      </c>
      <c r="P859" s="40" t="s">
        <v>126</v>
      </c>
      <c r="Q859" s="40" t="s">
        <v>624</v>
      </c>
      <c r="R859" s="40">
        <v>12</v>
      </c>
      <c r="S859" s="40" t="b">
        <v>0</v>
      </c>
      <c r="T859" s="40" t="b">
        <v>1</v>
      </c>
      <c r="U859" s="42">
        <f t="shared" si="13"/>
        <v>7.95</v>
      </c>
      <c r="V859" s="42">
        <v>0</v>
      </c>
      <c r="W859" s="42">
        <v>7.95</v>
      </c>
    </row>
    <row r="860" spans="4:23" x14ac:dyDescent="0.15">
      <c r="D860" s="43" t="s">
        <v>1533</v>
      </c>
      <c r="E860" s="43" t="s">
        <v>233</v>
      </c>
      <c r="F860" s="43" t="s">
        <v>234</v>
      </c>
      <c r="G860" s="43">
        <v>1</v>
      </c>
      <c r="H860" s="44">
        <v>40513.515972222223</v>
      </c>
      <c r="I860" s="43">
        <v>1.95</v>
      </c>
      <c r="J860" s="43">
        <v>17968</v>
      </c>
      <c r="K860" s="43" t="s">
        <v>71</v>
      </c>
      <c r="L860" s="45">
        <v>1.95</v>
      </c>
      <c r="M860" s="43" t="s">
        <v>721</v>
      </c>
      <c r="N860" s="43">
        <v>2010</v>
      </c>
      <c r="O860" s="43" t="s">
        <v>83</v>
      </c>
      <c r="P860" s="43" t="s">
        <v>126</v>
      </c>
      <c r="Q860" s="43" t="s">
        <v>624</v>
      </c>
      <c r="R860" s="43">
        <v>12</v>
      </c>
      <c r="S860" s="43" t="b">
        <v>0</v>
      </c>
      <c r="T860" s="43" t="b">
        <v>1</v>
      </c>
      <c r="U860" s="45">
        <f t="shared" si="13"/>
        <v>1.95</v>
      </c>
      <c r="V860" s="45">
        <v>0</v>
      </c>
      <c r="W860" s="45">
        <v>1.95</v>
      </c>
    </row>
    <row r="861" spans="4:23" x14ac:dyDescent="0.15">
      <c r="D861" s="40" t="s">
        <v>1533</v>
      </c>
      <c r="E861" s="40" t="s">
        <v>193</v>
      </c>
      <c r="F861" s="40" t="s">
        <v>194</v>
      </c>
      <c r="G861" s="40">
        <v>1</v>
      </c>
      <c r="H861" s="41">
        <v>40513.515972222223</v>
      </c>
      <c r="I861" s="40">
        <v>4.25</v>
      </c>
      <c r="J861" s="40">
        <v>17968</v>
      </c>
      <c r="K861" s="40" t="s">
        <v>71</v>
      </c>
      <c r="L861" s="42">
        <v>4.25</v>
      </c>
      <c r="M861" s="40" t="s">
        <v>721</v>
      </c>
      <c r="N861" s="40">
        <v>2010</v>
      </c>
      <c r="O861" s="40" t="s">
        <v>83</v>
      </c>
      <c r="P861" s="40" t="s">
        <v>126</v>
      </c>
      <c r="Q861" s="40" t="s">
        <v>624</v>
      </c>
      <c r="R861" s="40">
        <v>12</v>
      </c>
      <c r="S861" s="40" t="b">
        <v>0</v>
      </c>
      <c r="T861" s="40" t="b">
        <v>1</v>
      </c>
      <c r="U861" s="42">
        <f t="shared" si="13"/>
        <v>4.25</v>
      </c>
      <c r="V861" s="42">
        <v>0</v>
      </c>
      <c r="W861" s="42">
        <v>4.25</v>
      </c>
    </row>
    <row r="862" spans="4:23" x14ac:dyDescent="0.15">
      <c r="D862" s="43" t="s">
        <v>1533</v>
      </c>
      <c r="E862" s="43" t="s">
        <v>1602</v>
      </c>
      <c r="F862" s="43" t="s">
        <v>1603</v>
      </c>
      <c r="G862" s="43">
        <v>1</v>
      </c>
      <c r="H862" s="44">
        <v>40513.515972222223</v>
      </c>
      <c r="I862" s="43">
        <v>0.85</v>
      </c>
      <c r="J862" s="43">
        <v>17968</v>
      </c>
      <c r="K862" s="43" t="s">
        <v>71</v>
      </c>
      <c r="L862" s="45">
        <v>0.85</v>
      </c>
      <c r="M862" s="43" t="s">
        <v>721</v>
      </c>
      <c r="N862" s="43">
        <v>2010</v>
      </c>
      <c r="O862" s="43" t="s">
        <v>83</v>
      </c>
      <c r="P862" s="43" t="s">
        <v>126</v>
      </c>
      <c r="Q862" s="43" t="s">
        <v>624</v>
      </c>
      <c r="R862" s="43">
        <v>12</v>
      </c>
      <c r="S862" s="43" t="b">
        <v>0</v>
      </c>
      <c r="T862" s="43" t="b">
        <v>1</v>
      </c>
      <c r="U862" s="45">
        <f t="shared" si="13"/>
        <v>0.85</v>
      </c>
      <c r="V862" s="45">
        <v>0</v>
      </c>
      <c r="W862" s="45">
        <v>0.85</v>
      </c>
    </row>
    <row r="863" spans="4:23" x14ac:dyDescent="0.15">
      <c r="D863" s="40" t="s">
        <v>1533</v>
      </c>
      <c r="E863" s="40" t="s">
        <v>1600</v>
      </c>
      <c r="F863" s="40" t="s">
        <v>1601</v>
      </c>
      <c r="G863" s="40">
        <v>2</v>
      </c>
      <c r="H863" s="41">
        <v>40513.515972222223</v>
      </c>
      <c r="I863" s="40">
        <v>0.85</v>
      </c>
      <c r="J863" s="40">
        <v>17968</v>
      </c>
      <c r="K863" s="40" t="s">
        <v>71</v>
      </c>
      <c r="L863" s="42">
        <v>1.7</v>
      </c>
      <c r="M863" s="40" t="s">
        <v>721</v>
      </c>
      <c r="N863" s="40">
        <v>2010</v>
      </c>
      <c r="O863" s="40" t="s">
        <v>83</v>
      </c>
      <c r="P863" s="40" t="s">
        <v>126</v>
      </c>
      <c r="Q863" s="40" t="s">
        <v>624</v>
      </c>
      <c r="R863" s="40">
        <v>12</v>
      </c>
      <c r="S863" s="40" t="b">
        <v>0</v>
      </c>
      <c r="T863" s="40" t="b">
        <v>1</v>
      </c>
      <c r="U863" s="42">
        <f t="shared" si="13"/>
        <v>1.7</v>
      </c>
      <c r="V863" s="42">
        <v>0</v>
      </c>
      <c r="W863" s="42">
        <v>1.7</v>
      </c>
    </row>
    <row r="864" spans="4:23" x14ac:dyDescent="0.15">
      <c r="D864" s="43" t="s">
        <v>1533</v>
      </c>
      <c r="E864" s="43" t="s">
        <v>419</v>
      </c>
      <c r="F864" s="43" t="s">
        <v>420</v>
      </c>
      <c r="G864" s="43">
        <v>1</v>
      </c>
      <c r="H864" s="44">
        <v>40513.515972222223</v>
      </c>
      <c r="I864" s="43">
        <v>2.1</v>
      </c>
      <c r="J864" s="43">
        <v>17968</v>
      </c>
      <c r="K864" s="43" t="s">
        <v>71</v>
      </c>
      <c r="L864" s="45">
        <v>2.1</v>
      </c>
      <c r="M864" s="43" t="s">
        <v>721</v>
      </c>
      <c r="N864" s="43">
        <v>2010</v>
      </c>
      <c r="O864" s="43" t="s">
        <v>83</v>
      </c>
      <c r="P864" s="43" t="s">
        <v>126</v>
      </c>
      <c r="Q864" s="43" t="s">
        <v>624</v>
      </c>
      <c r="R864" s="43">
        <v>12</v>
      </c>
      <c r="S864" s="43" t="b">
        <v>0</v>
      </c>
      <c r="T864" s="43" t="b">
        <v>1</v>
      </c>
      <c r="U864" s="45">
        <f t="shared" si="13"/>
        <v>2.1</v>
      </c>
      <c r="V864" s="45">
        <v>0</v>
      </c>
      <c r="W864" s="45">
        <v>2.1</v>
      </c>
    </row>
    <row r="865" spans="4:23" x14ac:dyDescent="0.15">
      <c r="D865" s="40" t="s">
        <v>1533</v>
      </c>
      <c r="E865" s="40" t="s">
        <v>1616</v>
      </c>
      <c r="F865" s="40" t="s">
        <v>1617</v>
      </c>
      <c r="G865" s="40">
        <v>1</v>
      </c>
      <c r="H865" s="41">
        <v>40513.515972222223</v>
      </c>
      <c r="I865" s="40">
        <v>0.85</v>
      </c>
      <c r="J865" s="40">
        <v>17968</v>
      </c>
      <c r="K865" s="40" t="s">
        <v>71</v>
      </c>
      <c r="L865" s="42">
        <v>0.85</v>
      </c>
      <c r="M865" s="40" t="s">
        <v>721</v>
      </c>
      <c r="N865" s="40">
        <v>2010</v>
      </c>
      <c r="O865" s="40" t="s">
        <v>83</v>
      </c>
      <c r="P865" s="40" t="s">
        <v>126</v>
      </c>
      <c r="Q865" s="40" t="s">
        <v>624</v>
      </c>
      <c r="R865" s="40">
        <v>12</v>
      </c>
      <c r="S865" s="40" t="b">
        <v>0</v>
      </c>
      <c r="T865" s="40" t="b">
        <v>1</v>
      </c>
      <c r="U865" s="42">
        <f t="shared" si="13"/>
        <v>0.85</v>
      </c>
      <c r="V865" s="42">
        <v>0</v>
      </c>
      <c r="W865" s="42">
        <v>0.85</v>
      </c>
    </row>
    <row r="866" spans="4:23" x14ac:dyDescent="0.15">
      <c r="D866" s="43" t="s">
        <v>1533</v>
      </c>
      <c r="E866" s="43" t="s">
        <v>1574</v>
      </c>
      <c r="F866" s="43" t="s">
        <v>1575</v>
      </c>
      <c r="G866" s="43">
        <v>8</v>
      </c>
      <c r="H866" s="44">
        <v>40513.515972222223</v>
      </c>
      <c r="I866" s="43">
        <v>1.45</v>
      </c>
      <c r="J866" s="43">
        <v>17968</v>
      </c>
      <c r="K866" s="43" t="s">
        <v>71</v>
      </c>
      <c r="L866" s="45">
        <v>11.6</v>
      </c>
      <c r="M866" s="43" t="s">
        <v>721</v>
      </c>
      <c r="N866" s="43">
        <v>2010</v>
      </c>
      <c r="O866" s="43" t="s">
        <v>83</v>
      </c>
      <c r="P866" s="43" t="s">
        <v>126</v>
      </c>
      <c r="Q866" s="43" t="s">
        <v>624</v>
      </c>
      <c r="R866" s="43">
        <v>12</v>
      </c>
      <c r="S866" s="43" t="b">
        <v>0</v>
      </c>
      <c r="T866" s="43" t="b">
        <v>1</v>
      </c>
      <c r="U866" s="45">
        <f t="shared" si="13"/>
        <v>11.6</v>
      </c>
      <c r="V866" s="45">
        <v>0</v>
      </c>
      <c r="W866" s="45">
        <v>11.6</v>
      </c>
    </row>
    <row r="867" spans="4:23" x14ac:dyDescent="0.15">
      <c r="D867" s="40" t="s">
        <v>1533</v>
      </c>
      <c r="E867" s="40" t="s">
        <v>1097</v>
      </c>
      <c r="F867" s="40" t="s">
        <v>1098</v>
      </c>
      <c r="G867" s="40">
        <v>1</v>
      </c>
      <c r="H867" s="41">
        <v>40513.515972222223</v>
      </c>
      <c r="I867" s="40">
        <v>2.1</v>
      </c>
      <c r="J867" s="40">
        <v>17968</v>
      </c>
      <c r="K867" s="40" t="s">
        <v>71</v>
      </c>
      <c r="L867" s="42">
        <v>2.1</v>
      </c>
      <c r="M867" s="40" t="s">
        <v>721</v>
      </c>
      <c r="N867" s="40">
        <v>2010</v>
      </c>
      <c r="O867" s="40" t="s">
        <v>83</v>
      </c>
      <c r="P867" s="40" t="s">
        <v>126</v>
      </c>
      <c r="Q867" s="40" t="s">
        <v>624</v>
      </c>
      <c r="R867" s="40">
        <v>12</v>
      </c>
      <c r="S867" s="40" t="b">
        <v>0</v>
      </c>
      <c r="T867" s="40" t="b">
        <v>1</v>
      </c>
      <c r="U867" s="42">
        <f t="shared" si="13"/>
        <v>2.1</v>
      </c>
      <c r="V867" s="42">
        <v>0</v>
      </c>
      <c r="W867" s="42">
        <v>2.1</v>
      </c>
    </row>
    <row r="868" spans="4:23" x14ac:dyDescent="0.15">
      <c r="D868" s="43" t="s">
        <v>1533</v>
      </c>
      <c r="E868" s="43" t="s">
        <v>1618</v>
      </c>
      <c r="F868" s="43" t="s">
        <v>1619</v>
      </c>
      <c r="G868" s="43">
        <v>1</v>
      </c>
      <c r="H868" s="44">
        <v>40513.515972222223</v>
      </c>
      <c r="I868" s="43">
        <v>2.95</v>
      </c>
      <c r="J868" s="43">
        <v>17968</v>
      </c>
      <c r="K868" s="43" t="s">
        <v>71</v>
      </c>
      <c r="L868" s="45">
        <v>2.95</v>
      </c>
      <c r="M868" s="43" t="s">
        <v>721</v>
      </c>
      <c r="N868" s="43">
        <v>2010</v>
      </c>
      <c r="O868" s="43" t="s">
        <v>83</v>
      </c>
      <c r="P868" s="43" t="s">
        <v>126</v>
      </c>
      <c r="Q868" s="43" t="s">
        <v>624</v>
      </c>
      <c r="R868" s="43">
        <v>12</v>
      </c>
      <c r="S868" s="43" t="b">
        <v>0</v>
      </c>
      <c r="T868" s="43" t="b">
        <v>1</v>
      </c>
      <c r="U868" s="45">
        <f t="shared" si="13"/>
        <v>2.95</v>
      </c>
      <c r="V868" s="45">
        <v>0</v>
      </c>
      <c r="W868" s="45">
        <v>2.95</v>
      </c>
    </row>
    <row r="869" spans="4:23" x14ac:dyDescent="0.15">
      <c r="D869" s="40" t="s">
        <v>1533</v>
      </c>
      <c r="E869" s="40" t="s">
        <v>199</v>
      </c>
      <c r="F869" s="40" t="s">
        <v>380</v>
      </c>
      <c r="G869" s="40">
        <v>6</v>
      </c>
      <c r="H869" s="41">
        <v>40513.515972222223</v>
      </c>
      <c r="I869" s="40">
        <v>0.85</v>
      </c>
      <c r="J869" s="40">
        <v>17968</v>
      </c>
      <c r="K869" s="40" t="s">
        <v>71</v>
      </c>
      <c r="L869" s="42">
        <v>5.0999999999999996</v>
      </c>
      <c r="M869" s="40" t="s">
        <v>721</v>
      </c>
      <c r="N869" s="40">
        <v>2010</v>
      </c>
      <c r="O869" s="40" t="s">
        <v>83</v>
      </c>
      <c r="P869" s="40" t="s">
        <v>126</v>
      </c>
      <c r="Q869" s="40" t="s">
        <v>624</v>
      </c>
      <c r="R869" s="40">
        <v>12</v>
      </c>
      <c r="S869" s="40" t="b">
        <v>0</v>
      </c>
      <c r="T869" s="40" t="b">
        <v>1</v>
      </c>
      <c r="U869" s="42">
        <f t="shared" si="13"/>
        <v>5.0999999999999996</v>
      </c>
      <c r="V869" s="42">
        <v>0</v>
      </c>
      <c r="W869" s="42">
        <v>5.0999999999999996</v>
      </c>
    </row>
    <row r="870" spans="4:23" x14ac:dyDescent="0.15">
      <c r="D870" s="43" t="s">
        <v>1533</v>
      </c>
      <c r="E870" s="43" t="s">
        <v>906</v>
      </c>
      <c r="F870" s="43" t="s">
        <v>907</v>
      </c>
      <c r="G870" s="43">
        <v>1</v>
      </c>
      <c r="H870" s="44">
        <v>40513.515972222223</v>
      </c>
      <c r="I870" s="43">
        <v>1.95</v>
      </c>
      <c r="J870" s="43">
        <v>17968</v>
      </c>
      <c r="K870" s="43" t="s">
        <v>71</v>
      </c>
      <c r="L870" s="45">
        <v>1.95</v>
      </c>
      <c r="M870" s="43" t="s">
        <v>721</v>
      </c>
      <c r="N870" s="43">
        <v>2010</v>
      </c>
      <c r="O870" s="43" t="s">
        <v>83</v>
      </c>
      <c r="P870" s="43" t="s">
        <v>126</v>
      </c>
      <c r="Q870" s="43" t="s">
        <v>624</v>
      </c>
      <c r="R870" s="43">
        <v>12</v>
      </c>
      <c r="S870" s="43" t="b">
        <v>0</v>
      </c>
      <c r="T870" s="43" t="b">
        <v>1</v>
      </c>
      <c r="U870" s="45">
        <f t="shared" si="13"/>
        <v>1.95</v>
      </c>
      <c r="V870" s="45">
        <v>0</v>
      </c>
      <c r="W870" s="45">
        <v>1.95</v>
      </c>
    </row>
    <row r="871" spans="4:23" x14ac:dyDescent="0.15">
      <c r="D871" s="40" t="s">
        <v>1620</v>
      </c>
      <c r="E871" s="40" t="s">
        <v>193</v>
      </c>
      <c r="F871" s="40" t="s">
        <v>194</v>
      </c>
      <c r="G871" s="40">
        <v>6</v>
      </c>
      <c r="H871" s="41">
        <v>40513.515972222223</v>
      </c>
      <c r="I871" s="40">
        <v>4.25</v>
      </c>
      <c r="J871" s="40">
        <v>14849</v>
      </c>
      <c r="K871" s="40" t="s">
        <v>71</v>
      </c>
      <c r="L871" s="42">
        <v>25.5</v>
      </c>
      <c r="M871" s="40" t="s">
        <v>721</v>
      </c>
      <c r="N871" s="40">
        <v>2010</v>
      </c>
      <c r="O871" s="40" t="s">
        <v>83</v>
      </c>
      <c r="P871" s="40" t="s">
        <v>126</v>
      </c>
      <c r="Q871" s="40" t="s">
        <v>624</v>
      </c>
      <c r="R871" s="40">
        <v>12</v>
      </c>
      <c r="S871" s="40" t="b">
        <v>0</v>
      </c>
      <c r="T871" s="40" t="b">
        <v>1</v>
      </c>
      <c r="U871" s="42">
        <f t="shared" si="13"/>
        <v>25.5</v>
      </c>
      <c r="V871" s="42">
        <v>0</v>
      </c>
      <c r="W871" s="42">
        <v>25.5</v>
      </c>
    </row>
    <row r="872" spans="4:23" x14ac:dyDescent="0.15">
      <c r="D872" s="43" t="s">
        <v>1620</v>
      </c>
      <c r="E872" s="43" t="s">
        <v>251</v>
      </c>
      <c r="F872" s="43" t="s">
        <v>252</v>
      </c>
      <c r="G872" s="43">
        <v>12</v>
      </c>
      <c r="H872" s="44">
        <v>40513.515972222223</v>
      </c>
      <c r="I872" s="43">
        <v>1.45</v>
      </c>
      <c r="J872" s="43">
        <v>14849</v>
      </c>
      <c r="K872" s="43" t="s">
        <v>71</v>
      </c>
      <c r="L872" s="45">
        <v>17.399999999999999</v>
      </c>
      <c r="M872" s="43" t="s">
        <v>721</v>
      </c>
      <c r="N872" s="43">
        <v>2010</v>
      </c>
      <c r="O872" s="43" t="s">
        <v>83</v>
      </c>
      <c r="P872" s="43" t="s">
        <v>126</v>
      </c>
      <c r="Q872" s="43" t="s">
        <v>624</v>
      </c>
      <c r="R872" s="43">
        <v>12</v>
      </c>
      <c r="S872" s="43" t="b">
        <v>0</v>
      </c>
      <c r="T872" s="43" t="b">
        <v>1</v>
      </c>
      <c r="U872" s="45">
        <f t="shared" si="13"/>
        <v>17.399999999999999</v>
      </c>
      <c r="V872" s="45">
        <v>0</v>
      </c>
      <c r="W872" s="45">
        <v>17.399999999999999</v>
      </c>
    </row>
    <row r="873" spans="4:23" x14ac:dyDescent="0.15">
      <c r="D873" s="40" t="s">
        <v>1621</v>
      </c>
      <c r="E873" s="40" t="s">
        <v>1023</v>
      </c>
      <c r="F873" s="40" t="s">
        <v>1024</v>
      </c>
      <c r="G873" s="40">
        <v>48</v>
      </c>
      <c r="H873" s="41">
        <v>40513.518750000003</v>
      </c>
      <c r="I873" s="40">
        <v>1.85</v>
      </c>
      <c r="J873" s="40">
        <v>16210</v>
      </c>
      <c r="K873" s="40" t="s">
        <v>71</v>
      </c>
      <c r="L873" s="42">
        <v>88.800000000000011</v>
      </c>
      <c r="M873" s="40" t="s">
        <v>721</v>
      </c>
      <c r="N873" s="40">
        <v>2010</v>
      </c>
      <c r="O873" s="40" t="s">
        <v>83</v>
      </c>
      <c r="P873" s="40" t="s">
        <v>126</v>
      </c>
      <c r="Q873" s="40" t="s">
        <v>624</v>
      </c>
      <c r="R873" s="40">
        <v>12</v>
      </c>
      <c r="S873" s="40" t="b">
        <v>0</v>
      </c>
      <c r="T873" s="40" t="b">
        <v>1</v>
      </c>
      <c r="U873" s="42">
        <f t="shared" si="13"/>
        <v>88.800000000000011</v>
      </c>
      <c r="V873" s="42">
        <v>0</v>
      </c>
      <c r="W873" s="42">
        <v>88.800000000000011</v>
      </c>
    </row>
    <row r="874" spans="4:23" x14ac:dyDescent="0.15">
      <c r="D874" s="43" t="s">
        <v>1621</v>
      </c>
      <c r="E874" s="43" t="s">
        <v>305</v>
      </c>
      <c r="F874" s="43" t="s">
        <v>306</v>
      </c>
      <c r="G874" s="43">
        <v>24</v>
      </c>
      <c r="H874" s="44">
        <v>40513.518750000003</v>
      </c>
      <c r="I874" s="43">
        <v>3.39</v>
      </c>
      <c r="J874" s="43">
        <v>16210</v>
      </c>
      <c r="K874" s="43" t="s">
        <v>71</v>
      </c>
      <c r="L874" s="45">
        <v>81.36</v>
      </c>
      <c r="M874" s="43" t="s">
        <v>721</v>
      </c>
      <c r="N874" s="43">
        <v>2010</v>
      </c>
      <c r="O874" s="43" t="s">
        <v>83</v>
      </c>
      <c r="P874" s="43" t="s">
        <v>126</v>
      </c>
      <c r="Q874" s="43" t="s">
        <v>624</v>
      </c>
      <c r="R874" s="43">
        <v>12</v>
      </c>
      <c r="S874" s="43" t="b">
        <v>0</v>
      </c>
      <c r="T874" s="43" t="b">
        <v>1</v>
      </c>
      <c r="U874" s="45">
        <f t="shared" si="13"/>
        <v>81.36</v>
      </c>
      <c r="V874" s="45">
        <v>0</v>
      </c>
      <c r="W874" s="45">
        <v>81.36</v>
      </c>
    </row>
    <row r="875" spans="4:23" x14ac:dyDescent="0.15">
      <c r="D875" s="40" t="s">
        <v>1621</v>
      </c>
      <c r="E875" s="40" t="s">
        <v>185</v>
      </c>
      <c r="F875" s="40" t="s">
        <v>186</v>
      </c>
      <c r="G875" s="40">
        <v>480</v>
      </c>
      <c r="H875" s="41">
        <v>40513.518750000003</v>
      </c>
      <c r="I875" s="40">
        <v>3.39</v>
      </c>
      <c r="J875" s="40">
        <v>16210</v>
      </c>
      <c r="K875" s="40" t="s">
        <v>71</v>
      </c>
      <c r="L875" s="42">
        <v>1627.2</v>
      </c>
      <c r="M875" s="40" t="s">
        <v>721</v>
      </c>
      <c r="N875" s="40">
        <v>2010</v>
      </c>
      <c r="O875" s="40" t="s">
        <v>83</v>
      </c>
      <c r="P875" s="40" t="s">
        <v>126</v>
      </c>
      <c r="Q875" s="40" t="s">
        <v>624</v>
      </c>
      <c r="R875" s="40">
        <v>12</v>
      </c>
      <c r="S875" s="40" t="b">
        <v>0</v>
      </c>
      <c r="T875" s="40" t="b">
        <v>1</v>
      </c>
      <c r="U875" s="42">
        <f t="shared" si="13"/>
        <v>1627.2</v>
      </c>
      <c r="V875" s="42">
        <v>0</v>
      </c>
      <c r="W875" s="42">
        <v>1627.2</v>
      </c>
    </row>
    <row r="876" spans="4:23" x14ac:dyDescent="0.15">
      <c r="D876" s="43" t="s">
        <v>1621</v>
      </c>
      <c r="E876" s="43" t="s">
        <v>538</v>
      </c>
      <c r="F876" s="43" t="s">
        <v>539</v>
      </c>
      <c r="G876" s="43">
        <v>48</v>
      </c>
      <c r="H876" s="44">
        <v>40513.518750000003</v>
      </c>
      <c r="I876" s="43">
        <v>2.1</v>
      </c>
      <c r="J876" s="43">
        <v>16210</v>
      </c>
      <c r="K876" s="43" t="s">
        <v>71</v>
      </c>
      <c r="L876" s="45">
        <v>100.8</v>
      </c>
      <c r="M876" s="43" t="s">
        <v>721</v>
      </c>
      <c r="N876" s="43">
        <v>2010</v>
      </c>
      <c r="O876" s="43" t="s">
        <v>83</v>
      </c>
      <c r="P876" s="43" t="s">
        <v>126</v>
      </c>
      <c r="Q876" s="43" t="s">
        <v>624</v>
      </c>
      <c r="R876" s="43">
        <v>12</v>
      </c>
      <c r="S876" s="43" t="b">
        <v>0</v>
      </c>
      <c r="T876" s="43" t="b">
        <v>1</v>
      </c>
      <c r="U876" s="45">
        <f t="shared" si="13"/>
        <v>100.8</v>
      </c>
      <c r="V876" s="45">
        <v>0</v>
      </c>
      <c r="W876" s="45">
        <v>100.8</v>
      </c>
    </row>
    <row r="877" spans="4:23" x14ac:dyDescent="0.15">
      <c r="D877" s="40" t="s">
        <v>1621</v>
      </c>
      <c r="E877" s="40" t="s">
        <v>1622</v>
      </c>
      <c r="F877" s="40" t="s">
        <v>1623</v>
      </c>
      <c r="G877" s="40">
        <v>16</v>
      </c>
      <c r="H877" s="41">
        <v>40513.518750000003</v>
      </c>
      <c r="I877" s="40">
        <v>1.25</v>
      </c>
      <c r="J877" s="40">
        <v>16210</v>
      </c>
      <c r="K877" s="40" t="s">
        <v>71</v>
      </c>
      <c r="L877" s="42">
        <v>20</v>
      </c>
      <c r="M877" s="40" t="s">
        <v>721</v>
      </c>
      <c r="N877" s="40">
        <v>2010</v>
      </c>
      <c r="O877" s="40" t="s">
        <v>83</v>
      </c>
      <c r="P877" s="40" t="s">
        <v>126</v>
      </c>
      <c r="Q877" s="40" t="s">
        <v>624</v>
      </c>
      <c r="R877" s="40">
        <v>12</v>
      </c>
      <c r="S877" s="40" t="b">
        <v>0</v>
      </c>
      <c r="T877" s="40" t="b">
        <v>1</v>
      </c>
      <c r="U877" s="42">
        <f t="shared" si="13"/>
        <v>20</v>
      </c>
      <c r="V877" s="42">
        <v>0</v>
      </c>
      <c r="W877" s="42">
        <v>20</v>
      </c>
    </row>
    <row r="878" spans="4:23" x14ac:dyDescent="0.15">
      <c r="D878" s="43" t="s">
        <v>1621</v>
      </c>
      <c r="E878" s="43" t="s">
        <v>1624</v>
      </c>
      <c r="F878" s="43" t="s">
        <v>1625</v>
      </c>
      <c r="G878" s="43">
        <v>16</v>
      </c>
      <c r="H878" s="44">
        <v>40513.518750000003</v>
      </c>
      <c r="I878" s="43">
        <v>1.25</v>
      </c>
      <c r="J878" s="43">
        <v>16210</v>
      </c>
      <c r="K878" s="43" t="s">
        <v>71</v>
      </c>
      <c r="L878" s="45">
        <v>20</v>
      </c>
      <c r="M878" s="43" t="s">
        <v>721</v>
      </c>
      <c r="N878" s="43">
        <v>2010</v>
      </c>
      <c r="O878" s="43" t="s">
        <v>83</v>
      </c>
      <c r="P878" s="43" t="s">
        <v>126</v>
      </c>
      <c r="Q878" s="43" t="s">
        <v>624</v>
      </c>
      <c r="R878" s="43">
        <v>12</v>
      </c>
      <c r="S878" s="43" t="b">
        <v>0</v>
      </c>
      <c r="T878" s="43" t="b">
        <v>1</v>
      </c>
      <c r="U878" s="45">
        <f t="shared" si="13"/>
        <v>20</v>
      </c>
      <c r="V878" s="45">
        <v>0</v>
      </c>
      <c r="W878" s="45">
        <v>20</v>
      </c>
    </row>
    <row r="879" spans="4:23" x14ac:dyDescent="0.15">
      <c r="D879" s="40" t="s">
        <v>1621</v>
      </c>
      <c r="E879" s="40" t="s">
        <v>997</v>
      </c>
      <c r="F879" s="40" t="s">
        <v>998</v>
      </c>
      <c r="G879" s="40">
        <v>4</v>
      </c>
      <c r="H879" s="41">
        <v>40513.518750000003</v>
      </c>
      <c r="I879" s="40">
        <v>3.75</v>
      </c>
      <c r="J879" s="40">
        <v>16210</v>
      </c>
      <c r="K879" s="40" t="s">
        <v>71</v>
      </c>
      <c r="L879" s="42">
        <v>15</v>
      </c>
      <c r="M879" s="40" t="s">
        <v>721</v>
      </c>
      <c r="N879" s="40">
        <v>2010</v>
      </c>
      <c r="O879" s="40" t="s">
        <v>83</v>
      </c>
      <c r="P879" s="40" t="s">
        <v>126</v>
      </c>
      <c r="Q879" s="40" t="s">
        <v>624</v>
      </c>
      <c r="R879" s="40">
        <v>12</v>
      </c>
      <c r="S879" s="40" t="b">
        <v>0</v>
      </c>
      <c r="T879" s="40" t="b">
        <v>1</v>
      </c>
      <c r="U879" s="42">
        <f t="shared" si="13"/>
        <v>15</v>
      </c>
      <c r="V879" s="42">
        <v>0</v>
      </c>
      <c r="W879" s="42">
        <v>15</v>
      </c>
    </row>
    <row r="880" spans="4:23" x14ac:dyDescent="0.15">
      <c r="D880" s="43" t="s">
        <v>1621</v>
      </c>
      <c r="E880" s="43" t="s">
        <v>1626</v>
      </c>
      <c r="F880" s="43" t="s">
        <v>1627</v>
      </c>
      <c r="G880" s="43">
        <v>96</v>
      </c>
      <c r="H880" s="44">
        <v>40513.518750000003</v>
      </c>
      <c r="I880" s="43">
        <v>0.72</v>
      </c>
      <c r="J880" s="43">
        <v>16210</v>
      </c>
      <c r="K880" s="43" t="s">
        <v>71</v>
      </c>
      <c r="L880" s="45">
        <v>69.12</v>
      </c>
      <c r="M880" s="43" t="s">
        <v>721</v>
      </c>
      <c r="N880" s="43">
        <v>2010</v>
      </c>
      <c r="O880" s="43" t="s">
        <v>83</v>
      </c>
      <c r="P880" s="43" t="s">
        <v>126</v>
      </c>
      <c r="Q880" s="43" t="s">
        <v>624</v>
      </c>
      <c r="R880" s="43">
        <v>12</v>
      </c>
      <c r="S880" s="43" t="b">
        <v>0</v>
      </c>
      <c r="T880" s="43" t="b">
        <v>1</v>
      </c>
      <c r="U880" s="45">
        <f t="shared" si="13"/>
        <v>69.12</v>
      </c>
      <c r="V880" s="45">
        <v>0</v>
      </c>
      <c r="W880" s="45">
        <v>69.12</v>
      </c>
    </row>
    <row r="881" spans="4:23" x14ac:dyDescent="0.15">
      <c r="D881" s="40" t="s">
        <v>1621</v>
      </c>
      <c r="E881" s="40" t="s">
        <v>1385</v>
      </c>
      <c r="F881" s="40" t="s">
        <v>1386</v>
      </c>
      <c r="G881" s="40">
        <v>144</v>
      </c>
      <c r="H881" s="41">
        <v>40513.518750000003</v>
      </c>
      <c r="I881" s="40">
        <v>0.72</v>
      </c>
      <c r="J881" s="40">
        <v>16210</v>
      </c>
      <c r="K881" s="40" t="s">
        <v>71</v>
      </c>
      <c r="L881" s="42">
        <v>103.68</v>
      </c>
      <c r="M881" s="40" t="s">
        <v>721</v>
      </c>
      <c r="N881" s="40">
        <v>2010</v>
      </c>
      <c r="O881" s="40" t="s">
        <v>83</v>
      </c>
      <c r="P881" s="40" t="s">
        <v>126</v>
      </c>
      <c r="Q881" s="40" t="s">
        <v>624</v>
      </c>
      <c r="R881" s="40">
        <v>12</v>
      </c>
      <c r="S881" s="40" t="b">
        <v>0</v>
      </c>
      <c r="T881" s="40" t="b">
        <v>1</v>
      </c>
      <c r="U881" s="42">
        <f t="shared" si="13"/>
        <v>103.68</v>
      </c>
      <c r="V881" s="42">
        <v>0</v>
      </c>
      <c r="W881" s="42">
        <v>103.68</v>
      </c>
    </row>
    <row r="882" spans="4:23" x14ac:dyDescent="0.15">
      <c r="D882" s="43" t="s">
        <v>1621</v>
      </c>
      <c r="E882" s="43" t="s">
        <v>1383</v>
      </c>
      <c r="F882" s="43" t="s">
        <v>1384</v>
      </c>
      <c r="G882" s="43">
        <v>144</v>
      </c>
      <c r="H882" s="44">
        <v>40513.518750000003</v>
      </c>
      <c r="I882" s="43">
        <v>0.72</v>
      </c>
      <c r="J882" s="43">
        <v>16210</v>
      </c>
      <c r="K882" s="43" t="s">
        <v>71</v>
      </c>
      <c r="L882" s="45">
        <v>103.68</v>
      </c>
      <c r="M882" s="43" t="s">
        <v>721</v>
      </c>
      <c r="N882" s="43">
        <v>2010</v>
      </c>
      <c r="O882" s="43" t="s">
        <v>83</v>
      </c>
      <c r="P882" s="43" t="s">
        <v>126</v>
      </c>
      <c r="Q882" s="43" t="s">
        <v>624</v>
      </c>
      <c r="R882" s="43">
        <v>12</v>
      </c>
      <c r="S882" s="43" t="b">
        <v>0</v>
      </c>
      <c r="T882" s="43" t="b">
        <v>1</v>
      </c>
      <c r="U882" s="45">
        <f t="shared" si="13"/>
        <v>103.68</v>
      </c>
      <c r="V882" s="45">
        <v>0</v>
      </c>
      <c r="W882" s="45">
        <v>103.68</v>
      </c>
    </row>
    <row r="883" spans="4:23" x14ac:dyDescent="0.15">
      <c r="D883" s="40" t="s">
        <v>1621</v>
      </c>
      <c r="E883" s="40" t="s">
        <v>729</v>
      </c>
      <c r="F883" s="40" t="s">
        <v>730</v>
      </c>
      <c r="G883" s="40">
        <v>12</v>
      </c>
      <c r="H883" s="41">
        <v>40513.518750000003</v>
      </c>
      <c r="I883" s="40">
        <v>2.1</v>
      </c>
      <c r="J883" s="40">
        <v>16210</v>
      </c>
      <c r="K883" s="40" t="s">
        <v>71</v>
      </c>
      <c r="L883" s="42">
        <v>25.2</v>
      </c>
      <c r="M883" s="40" t="s">
        <v>721</v>
      </c>
      <c r="N883" s="40">
        <v>2010</v>
      </c>
      <c r="O883" s="40" t="s">
        <v>83</v>
      </c>
      <c r="P883" s="40" t="s">
        <v>126</v>
      </c>
      <c r="Q883" s="40" t="s">
        <v>624</v>
      </c>
      <c r="R883" s="40">
        <v>12</v>
      </c>
      <c r="S883" s="40" t="b">
        <v>0</v>
      </c>
      <c r="T883" s="40" t="b">
        <v>1</v>
      </c>
      <c r="U883" s="42">
        <f t="shared" si="13"/>
        <v>25.2</v>
      </c>
      <c r="V883" s="42">
        <v>0</v>
      </c>
      <c r="W883" s="42">
        <v>25.2</v>
      </c>
    </row>
    <row r="884" spans="4:23" x14ac:dyDescent="0.15">
      <c r="D884" s="43" t="s">
        <v>1621</v>
      </c>
      <c r="E884" s="43" t="s">
        <v>731</v>
      </c>
      <c r="F884" s="43" t="s">
        <v>1017</v>
      </c>
      <c r="G884" s="43">
        <v>12</v>
      </c>
      <c r="H884" s="44">
        <v>40513.518750000003</v>
      </c>
      <c r="I884" s="43">
        <v>2.1</v>
      </c>
      <c r="J884" s="43">
        <v>16210</v>
      </c>
      <c r="K884" s="43" t="s">
        <v>71</v>
      </c>
      <c r="L884" s="45">
        <v>25.2</v>
      </c>
      <c r="M884" s="43" t="s">
        <v>721</v>
      </c>
      <c r="N884" s="43">
        <v>2010</v>
      </c>
      <c r="O884" s="43" t="s">
        <v>83</v>
      </c>
      <c r="P884" s="43" t="s">
        <v>126</v>
      </c>
      <c r="Q884" s="43" t="s">
        <v>624</v>
      </c>
      <c r="R884" s="43">
        <v>12</v>
      </c>
      <c r="S884" s="43" t="b">
        <v>0</v>
      </c>
      <c r="T884" s="43" t="b">
        <v>1</v>
      </c>
      <c r="U884" s="45">
        <f t="shared" si="13"/>
        <v>25.2</v>
      </c>
      <c r="V884" s="45">
        <v>0</v>
      </c>
      <c r="W884" s="45">
        <v>25.2</v>
      </c>
    </row>
    <row r="885" spans="4:23" x14ac:dyDescent="0.15">
      <c r="D885" s="40" t="s">
        <v>1621</v>
      </c>
      <c r="E885" s="40" t="s">
        <v>166</v>
      </c>
      <c r="F885" s="40" t="s">
        <v>100</v>
      </c>
      <c r="G885" s="40">
        <v>16</v>
      </c>
      <c r="H885" s="41">
        <v>40513.518750000003</v>
      </c>
      <c r="I885" s="40">
        <v>10.95</v>
      </c>
      <c r="J885" s="40">
        <v>16210</v>
      </c>
      <c r="K885" s="40" t="s">
        <v>71</v>
      </c>
      <c r="L885" s="42">
        <v>175.2</v>
      </c>
      <c r="M885" s="40" t="s">
        <v>721</v>
      </c>
      <c r="N885" s="40">
        <v>2010</v>
      </c>
      <c r="O885" s="40" t="s">
        <v>83</v>
      </c>
      <c r="P885" s="40" t="s">
        <v>126</v>
      </c>
      <c r="Q885" s="40" t="s">
        <v>624</v>
      </c>
      <c r="R885" s="40">
        <v>12</v>
      </c>
      <c r="S885" s="40" t="b">
        <v>0</v>
      </c>
      <c r="T885" s="40" t="b">
        <v>1</v>
      </c>
      <c r="U885" s="42">
        <f t="shared" si="13"/>
        <v>175.2</v>
      </c>
      <c r="V885" s="42">
        <v>0</v>
      </c>
      <c r="W885" s="42">
        <v>175.2</v>
      </c>
    </row>
    <row r="886" spans="4:23" x14ac:dyDescent="0.15">
      <c r="D886" s="43" t="s">
        <v>1621</v>
      </c>
      <c r="E886" s="43" t="s">
        <v>229</v>
      </c>
      <c r="F886" s="43" t="s">
        <v>230</v>
      </c>
      <c r="G886" s="43">
        <v>10</v>
      </c>
      <c r="H886" s="44">
        <v>40513.518750000003</v>
      </c>
      <c r="I886" s="43">
        <v>1.95</v>
      </c>
      <c r="J886" s="43">
        <v>16210</v>
      </c>
      <c r="K886" s="43" t="s">
        <v>71</v>
      </c>
      <c r="L886" s="45">
        <v>19.5</v>
      </c>
      <c r="M886" s="43" t="s">
        <v>721</v>
      </c>
      <c r="N886" s="43">
        <v>2010</v>
      </c>
      <c r="O886" s="43" t="s">
        <v>83</v>
      </c>
      <c r="P886" s="43" t="s">
        <v>126</v>
      </c>
      <c r="Q886" s="43" t="s">
        <v>624</v>
      </c>
      <c r="R886" s="43">
        <v>12</v>
      </c>
      <c r="S886" s="43" t="b">
        <v>0</v>
      </c>
      <c r="T886" s="43" t="b">
        <v>1</v>
      </c>
      <c r="U886" s="45">
        <f t="shared" si="13"/>
        <v>19.5</v>
      </c>
      <c r="V886" s="45">
        <v>0</v>
      </c>
      <c r="W886" s="45">
        <v>19.5</v>
      </c>
    </row>
    <row r="887" spans="4:23" x14ac:dyDescent="0.15">
      <c r="D887" s="40" t="s">
        <v>1628</v>
      </c>
      <c r="E887" s="40" t="s">
        <v>1361</v>
      </c>
      <c r="F887" s="40" t="s">
        <v>1362</v>
      </c>
      <c r="G887" s="40">
        <v>5</v>
      </c>
      <c r="H887" s="41">
        <v>40513.521527777782</v>
      </c>
      <c r="I887" s="40">
        <v>1.65</v>
      </c>
      <c r="J887" s="40">
        <v>17897</v>
      </c>
      <c r="K887" s="40" t="s">
        <v>71</v>
      </c>
      <c r="L887" s="42">
        <v>8.25</v>
      </c>
      <c r="M887" s="40" t="s">
        <v>721</v>
      </c>
      <c r="N887" s="40">
        <v>2010</v>
      </c>
      <c r="O887" s="40" t="s">
        <v>83</v>
      </c>
      <c r="P887" s="40" t="s">
        <v>126</v>
      </c>
      <c r="Q887" s="40" t="s">
        <v>624</v>
      </c>
      <c r="R887" s="40">
        <v>12</v>
      </c>
      <c r="S887" s="40" t="b">
        <v>0</v>
      </c>
      <c r="T887" s="40" t="b">
        <v>1</v>
      </c>
      <c r="U887" s="42">
        <f t="shared" si="13"/>
        <v>8.25</v>
      </c>
      <c r="V887" s="42">
        <v>0</v>
      </c>
      <c r="W887" s="42">
        <v>8.25</v>
      </c>
    </row>
    <row r="888" spans="4:23" x14ac:dyDescent="0.15">
      <c r="D888" s="43" t="s">
        <v>1628</v>
      </c>
      <c r="E888" s="43" t="s">
        <v>259</v>
      </c>
      <c r="F888" s="43" t="s">
        <v>260</v>
      </c>
      <c r="G888" s="43">
        <v>1</v>
      </c>
      <c r="H888" s="44">
        <v>40513.521527777782</v>
      </c>
      <c r="I888" s="43">
        <v>8.5</v>
      </c>
      <c r="J888" s="43">
        <v>17897</v>
      </c>
      <c r="K888" s="43" t="s">
        <v>71</v>
      </c>
      <c r="L888" s="45">
        <v>8.5</v>
      </c>
      <c r="M888" s="43" t="s">
        <v>721</v>
      </c>
      <c r="N888" s="43">
        <v>2010</v>
      </c>
      <c r="O888" s="43" t="s">
        <v>83</v>
      </c>
      <c r="P888" s="43" t="s">
        <v>126</v>
      </c>
      <c r="Q888" s="43" t="s">
        <v>624</v>
      </c>
      <c r="R888" s="43">
        <v>12</v>
      </c>
      <c r="S888" s="43" t="b">
        <v>0</v>
      </c>
      <c r="T888" s="43" t="b">
        <v>1</v>
      </c>
      <c r="U888" s="45">
        <f t="shared" si="13"/>
        <v>8.5</v>
      </c>
      <c r="V888" s="45">
        <v>0</v>
      </c>
      <c r="W888" s="45">
        <v>8.5</v>
      </c>
    </row>
    <row r="889" spans="4:23" x14ac:dyDescent="0.15">
      <c r="D889" s="40" t="s">
        <v>1628</v>
      </c>
      <c r="E889" s="40" t="s">
        <v>193</v>
      </c>
      <c r="F889" s="40" t="s">
        <v>194</v>
      </c>
      <c r="G889" s="40">
        <v>8</v>
      </c>
      <c r="H889" s="41">
        <v>40513.521527777782</v>
      </c>
      <c r="I889" s="40">
        <v>4.25</v>
      </c>
      <c r="J889" s="40">
        <v>17897</v>
      </c>
      <c r="K889" s="40" t="s">
        <v>71</v>
      </c>
      <c r="L889" s="42">
        <v>34</v>
      </c>
      <c r="M889" s="40" t="s">
        <v>721</v>
      </c>
      <c r="N889" s="40">
        <v>2010</v>
      </c>
      <c r="O889" s="40" t="s">
        <v>83</v>
      </c>
      <c r="P889" s="40" t="s">
        <v>126</v>
      </c>
      <c r="Q889" s="40" t="s">
        <v>624</v>
      </c>
      <c r="R889" s="40">
        <v>12</v>
      </c>
      <c r="S889" s="40" t="b">
        <v>0</v>
      </c>
      <c r="T889" s="40" t="b">
        <v>1</v>
      </c>
      <c r="U889" s="42">
        <f t="shared" si="13"/>
        <v>34</v>
      </c>
      <c r="V889" s="42">
        <v>0</v>
      </c>
      <c r="W889" s="42">
        <v>34</v>
      </c>
    </row>
    <row r="890" spans="4:23" x14ac:dyDescent="0.15">
      <c r="D890" s="43" t="s">
        <v>1628</v>
      </c>
      <c r="E890" s="43" t="s">
        <v>1604</v>
      </c>
      <c r="F890" s="43" t="s">
        <v>1605</v>
      </c>
      <c r="G890" s="43">
        <v>5</v>
      </c>
      <c r="H890" s="44">
        <v>40513.521527777782</v>
      </c>
      <c r="I890" s="43">
        <v>1.65</v>
      </c>
      <c r="J890" s="43">
        <v>17897</v>
      </c>
      <c r="K890" s="43" t="s">
        <v>71</v>
      </c>
      <c r="L890" s="45">
        <v>8.25</v>
      </c>
      <c r="M890" s="43" t="s">
        <v>721</v>
      </c>
      <c r="N890" s="43">
        <v>2010</v>
      </c>
      <c r="O890" s="43" t="s">
        <v>83</v>
      </c>
      <c r="P890" s="43" t="s">
        <v>126</v>
      </c>
      <c r="Q890" s="43" t="s">
        <v>624</v>
      </c>
      <c r="R890" s="43">
        <v>12</v>
      </c>
      <c r="S890" s="43" t="b">
        <v>0</v>
      </c>
      <c r="T890" s="43" t="b">
        <v>1</v>
      </c>
      <c r="U890" s="45">
        <f t="shared" si="13"/>
        <v>8.25</v>
      </c>
      <c r="V890" s="45">
        <v>0</v>
      </c>
      <c r="W890" s="45">
        <v>8.25</v>
      </c>
    </row>
    <row r="891" spans="4:23" x14ac:dyDescent="0.15">
      <c r="D891" s="40" t="s">
        <v>1628</v>
      </c>
      <c r="E891" s="40" t="s">
        <v>1629</v>
      </c>
      <c r="F891" s="40" t="s">
        <v>1630</v>
      </c>
      <c r="G891" s="40">
        <v>1</v>
      </c>
      <c r="H891" s="41">
        <v>40513.521527777782</v>
      </c>
      <c r="I891" s="40">
        <v>3.75</v>
      </c>
      <c r="J891" s="40">
        <v>17897</v>
      </c>
      <c r="K891" s="40" t="s">
        <v>71</v>
      </c>
      <c r="L891" s="42">
        <v>3.75</v>
      </c>
      <c r="M891" s="40" t="s">
        <v>721</v>
      </c>
      <c r="N891" s="40">
        <v>2010</v>
      </c>
      <c r="O891" s="40" t="s">
        <v>83</v>
      </c>
      <c r="P891" s="40" t="s">
        <v>126</v>
      </c>
      <c r="Q891" s="40" t="s">
        <v>624</v>
      </c>
      <c r="R891" s="40">
        <v>12</v>
      </c>
      <c r="S891" s="40" t="b">
        <v>0</v>
      </c>
      <c r="T891" s="40" t="b">
        <v>1</v>
      </c>
      <c r="U891" s="42">
        <f t="shared" si="13"/>
        <v>3.75</v>
      </c>
      <c r="V891" s="42">
        <v>0</v>
      </c>
      <c r="W891" s="42">
        <v>3.75</v>
      </c>
    </row>
    <row r="892" spans="4:23" x14ac:dyDescent="0.15">
      <c r="D892" s="43" t="s">
        <v>1628</v>
      </c>
      <c r="E892" s="43" t="s">
        <v>1631</v>
      </c>
      <c r="F892" s="43" t="s">
        <v>1632</v>
      </c>
      <c r="G892" s="43">
        <v>1</v>
      </c>
      <c r="H892" s="44">
        <v>40513.521527777782</v>
      </c>
      <c r="I892" s="43">
        <v>2.95</v>
      </c>
      <c r="J892" s="43">
        <v>17897</v>
      </c>
      <c r="K892" s="43" t="s">
        <v>71</v>
      </c>
      <c r="L892" s="45">
        <v>2.95</v>
      </c>
      <c r="M892" s="43" t="s">
        <v>721</v>
      </c>
      <c r="N892" s="43">
        <v>2010</v>
      </c>
      <c r="O892" s="43" t="s">
        <v>83</v>
      </c>
      <c r="P892" s="43" t="s">
        <v>126</v>
      </c>
      <c r="Q892" s="43" t="s">
        <v>624</v>
      </c>
      <c r="R892" s="43">
        <v>12</v>
      </c>
      <c r="S892" s="43" t="b">
        <v>0</v>
      </c>
      <c r="T892" s="43" t="b">
        <v>1</v>
      </c>
      <c r="U892" s="45">
        <f t="shared" si="13"/>
        <v>2.95</v>
      </c>
      <c r="V892" s="45">
        <v>0</v>
      </c>
      <c r="W892" s="45">
        <v>2.95</v>
      </c>
    </row>
    <row r="893" spans="4:23" x14ac:dyDescent="0.15">
      <c r="D893" s="40" t="s">
        <v>1628</v>
      </c>
      <c r="E893" s="40" t="s">
        <v>1123</v>
      </c>
      <c r="F893" s="40" t="s">
        <v>1124</v>
      </c>
      <c r="G893" s="40">
        <v>1</v>
      </c>
      <c r="H893" s="41">
        <v>40513.521527777782</v>
      </c>
      <c r="I893" s="40">
        <v>1.25</v>
      </c>
      <c r="J893" s="40">
        <v>17897</v>
      </c>
      <c r="K893" s="40" t="s">
        <v>71</v>
      </c>
      <c r="L893" s="42">
        <v>1.25</v>
      </c>
      <c r="M893" s="40" t="s">
        <v>721</v>
      </c>
      <c r="N893" s="40">
        <v>2010</v>
      </c>
      <c r="O893" s="40" t="s">
        <v>83</v>
      </c>
      <c r="P893" s="40" t="s">
        <v>126</v>
      </c>
      <c r="Q893" s="40" t="s">
        <v>624</v>
      </c>
      <c r="R893" s="40">
        <v>12</v>
      </c>
      <c r="S893" s="40" t="b">
        <v>0</v>
      </c>
      <c r="T893" s="40" t="b">
        <v>1</v>
      </c>
      <c r="U893" s="42">
        <f t="shared" si="13"/>
        <v>1.25</v>
      </c>
      <c r="V893" s="42">
        <v>0</v>
      </c>
      <c r="W893" s="42">
        <v>1.25</v>
      </c>
    </row>
    <row r="894" spans="4:23" x14ac:dyDescent="0.15">
      <c r="D894" s="43" t="s">
        <v>1628</v>
      </c>
      <c r="E894" s="43" t="s">
        <v>1584</v>
      </c>
      <c r="F894" s="43" t="s">
        <v>1585</v>
      </c>
      <c r="G894" s="43">
        <v>2</v>
      </c>
      <c r="H894" s="44">
        <v>40513.521527777782</v>
      </c>
      <c r="I894" s="43">
        <v>1.25</v>
      </c>
      <c r="J894" s="43">
        <v>17897</v>
      </c>
      <c r="K894" s="43" t="s">
        <v>71</v>
      </c>
      <c r="L894" s="45">
        <v>2.5</v>
      </c>
      <c r="M894" s="43" t="s">
        <v>721</v>
      </c>
      <c r="N894" s="43">
        <v>2010</v>
      </c>
      <c r="O894" s="43" t="s">
        <v>83</v>
      </c>
      <c r="P894" s="43" t="s">
        <v>126</v>
      </c>
      <c r="Q894" s="43" t="s">
        <v>624</v>
      </c>
      <c r="R894" s="43">
        <v>12</v>
      </c>
      <c r="S894" s="43" t="b">
        <v>0</v>
      </c>
      <c r="T894" s="43" t="b">
        <v>1</v>
      </c>
      <c r="U894" s="45">
        <f t="shared" si="13"/>
        <v>2.5</v>
      </c>
      <c r="V894" s="45">
        <v>0</v>
      </c>
      <c r="W894" s="45">
        <v>2.5</v>
      </c>
    </row>
    <row r="895" spans="4:23" x14ac:dyDescent="0.15">
      <c r="D895" s="40" t="s">
        <v>1628</v>
      </c>
      <c r="E895" s="40" t="s">
        <v>241</v>
      </c>
      <c r="F895" s="40" t="s">
        <v>242</v>
      </c>
      <c r="G895" s="40">
        <v>1</v>
      </c>
      <c r="H895" s="41">
        <v>40513.521527777782</v>
      </c>
      <c r="I895" s="40">
        <v>2.5499999999999998</v>
      </c>
      <c r="J895" s="40">
        <v>17897</v>
      </c>
      <c r="K895" s="40" t="s">
        <v>71</v>
      </c>
      <c r="L895" s="42">
        <v>2.5499999999999998</v>
      </c>
      <c r="M895" s="40" t="s">
        <v>721</v>
      </c>
      <c r="N895" s="40">
        <v>2010</v>
      </c>
      <c r="O895" s="40" t="s">
        <v>83</v>
      </c>
      <c r="P895" s="40" t="s">
        <v>126</v>
      </c>
      <c r="Q895" s="40" t="s">
        <v>624</v>
      </c>
      <c r="R895" s="40">
        <v>12</v>
      </c>
      <c r="S895" s="40" t="b">
        <v>0</v>
      </c>
      <c r="T895" s="40" t="b">
        <v>1</v>
      </c>
      <c r="U895" s="42">
        <f t="shared" si="13"/>
        <v>2.5499999999999998</v>
      </c>
      <c r="V895" s="42">
        <v>0</v>
      </c>
      <c r="W895" s="42">
        <v>2.5499999999999998</v>
      </c>
    </row>
    <row r="896" spans="4:23" x14ac:dyDescent="0.15">
      <c r="D896" s="43" t="s">
        <v>1628</v>
      </c>
      <c r="E896" s="43" t="s">
        <v>241</v>
      </c>
      <c r="F896" s="43" t="s">
        <v>242</v>
      </c>
      <c r="G896" s="43">
        <v>1</v>
      </c>
      <c r="H896" s="44">
        <v>40513.521527777782</v>
      </c>
      <c r="I896" s="43">
        <v>2.5499999999999998</v>
      </c>
      <c r="J896" s="43">
        <v>17897</v>
      </c>
      <c r="K896" s="43" t="s">
        <v>71</v>
      </c>
      <c r="L896" s="45">
        <v>2.5499999999999998</v>
      </c>
      <c r="M896" s="43" t="s">
        <v>721</v>
      </c>
      <c r="N896" s="43">
        <v>2010</v>
      </c>
      <c r="O896" s="43" t="s">
        <v>83</v>
      </c>
      <c r="P896" s="43" t="s">
        <v>126</v>
      </c>
      <c r="Q896" s="43" t="s">
        <v>624</v>
      </c>
      <c r="R896" s="43">
        <v>12</v>
      </c>
      <c r="S896" s="43" t="b">
        <v>0</v>
      </c>
      <c r="T896" s="43" t="b">
        <v>1</v>
      </c>
      <c r="U896" s="45">
        <f t="shared" si="13"/>
        <v>2.5499999999999998</v>
      </c>
      <c r="V896" s="45">
        <v>0</v>
      </c>
      <c r="W896" s="45">
        <v>2.5499999999999998</v>
      </c>
    </row>
    <row r="897" spans="4:23" x14ac:dyDescent="0.15">
      <c r="D897" s="40" t="s">
        <v>1628</v>
      </c>
      <c r="E897" s="40" t="s">
        <v>1633</v>
      </c>
      <c r="F897" s="40" t="s">
        <v>1634</v>
      </c>
      <c r="G897" s="40">
        <v>1</v>
      </c>
      <c r="H897" s="41">
        <v>40513.521527777782</v>
      </c>
      <c r="I897" s="40">
        <v>2.25</v>
      </c>
      <c r="J897" s="40">
        <v>17897</v>
      </c>
      <c r="K897" s="40" t="s">
        <v>71</v>
      </c>
      <c r="L897" s="42">
        <v>2.25</v>
      </c>
      <c r="M897" s="40" t="s">
        <v>721</v>
      </c>
      <c r="N897" s="40">
        <v>2010</v>
      </c>
      <c r="O897" s="40" t="s">
        <v>83</v>
      </c>
      <c r="P897" s="40" t="s">
        <v>126</v>
      </c>
      <c r="Q897" s="40" t="s">
        <v>624</v>
      </c>
      <c r="R897" s="40">
        <v>12</v>
      </c>
      <c r="S897" s="40" t="b">
        <v>0</v>
      </c>
      <c r="T897" s="40" t="b">
        <v>1</v>
      </c>
      <c r="U897" s="42">
        <f t="shared" si="13"/>
        <v>2.25</v>
      </c>
      <c r="V897" s="42">
        <v>0</v>
      </c>
      <c r="W897" s="42">
        <v>2.25</v>
      </c>
    </row>
    <row r="898" spans="4:23" x14ac:dyDescent="0.15">
      <c r="D898" s="43" t="s">
        <v>1628</v>
      </c>
      <c r="E898" s="43" t="s">
        <v>1363</v>
      </c>
      <c r="F898" s="43" t="s">
        <v>1364</v>
      </c>
      <c r="G898" s="43">
        <v>1</v>
      </c>
      <c r="H898" s="44">
        <v>40513.521527777782</v>
      </c>
      <c r="I898" s="43">
        <v>0.85</v>
      </c>
      <c r="J898" s="43">
        <v>17897</v>
      </c>
      <c r="K898" s="43" t="s">
        <v>71</v>
      </c>
      <c r="L898" s="45">
        <v>0.85</v>
      </c>
      <c r="M898" s="43" t="s">
        <v>721</v>
      </c>
      <c r="N898" s="43">
        <v>2010</v>
      </c>
      <c r="O898" s="43" t="s">
        <v>83</v>
      </c>
      <c r="P898" s="43" t="s">
        <v>126</v>
      </c>
      <c r="Q898" s="43" t="s">
        <v>624</v>
      </c>
      <c r="R898" s="43">
        <v>12</v>
      </c>
      <c r="S898" s="43" t="b">
        <v>0</v>
      </c>
      <c r="T898" s="43" t="b">
        <v>1</v>
      </c>
      <c r="U898" s="45">
        <f t="shared" si="13"/>
        <v>0.85</v>
      </c>
      <c r="V898" s="45">
        <v>0</v>
      </c>
      <c r="W898" s="45">
        <v>0.85</v>
      </c>
    </row>
    <row r="899" spans="4:23" x14ac:dyDescent="0.15">
      <c r="D899" s="40" t="s">
        <v>1628</v>
      </c>
      <c r="E899" s="40" t="s">
        <v>515</v>
      </c>
      <c r="F899" s="40" t="s">
        <v>516</v>
      </c>
      <c r="G899" s="40">
        <v>1</v>
      </c>
      <c r="H899" s="41">
        <v>40513.521527777782</v>
      </c>
      <c r="I899" s="40">
        <v>2.95</v>
      </c>
      <c r="J899" s="40">
        <v>17897</v>
      </c>
      <c r="K899" s="40" t="s">
        <v>71</v>
      </c>
      <c r="L899" s="42">
        <v>2.95</v>
      </c>
      <c r="M899" s="40" t="s">
        <v>721</v>
      </c>
      <c r="N899" s="40">
        <v>2010</v>
      </c>
      <c r="O899" s="40" t="s">
        <v>83</v>
      </c>
      <c r="P899" s="40" t="s">
        <v>126</v>
      </c>
      <c r="Q899" s="40" t="s">
        <v>624</v>
      </c>
      <c r="R899" s="40">
        <v>12</v>
      </c>
      <c r="S899" s="40" t="b">
        <v>0</v>
      </c>
      <c r="T899" s="40" t="b">
        <v>1</v>
      </c>
      <c r="U899" s="42">
        <f t="shared" si="13"/>
        <v>2.95</v>
      </c>
      <c r="V899" s="42">
        <v>0</v>
      </c>
      <c r="W899" s="42">
        <v>2.95</v>
      </c>
    </row>
    <row r="900" spans="4:23" x14ac:dyDescent="0.15">
      <c r="D900" s="43" t="s">
        <v>1628</v>
      </c>
      <c r="E900" s="43" t="s">
        <v>1635</v>
      </c>
      <c r="F900" s="43" t="s">
        <v>1636</v>
      </c>
      <c r="G900" s="43">
        <v>2</v>
      </c>
      <c r="H900" s="44">
        <v>40513.521527777782</v>
      </c>
      <c r="I900" s="43">
        <v>0.85</v>
      </c>
      <c r="J900" s="43">
        <v>17897</v>
      </c>
      <c r="K900" s="43" t="s">
        <v>71</v>
      </c>
      <c r="L900" s="45">
        <v>1.7</v>
      </c>
      <c r="M900" s="43" t="s">
        <v>721</v>
      </c>
      <c r="N900" s="43">
        <v>2010</v>
      </c>
      <c r="O900" s="43" t="s">
        <v>83</v>
      </c>
      <c r="P900" s="43" t="s">
        <v>126</v>
      </c>
      <c r="Q900" s="43" t="s">
        <v>624</v>
      </c>
      <c r="R900" s="43">
        <v>12</v>
      </c>
      <c r="S900" s="43" t="b">
        <v>0</v>
      </c>
      <c r="T900" s="43" t="b">
        <v>1</v>
      </c>
      <c r="U900" s="45">
        <f t="shared" si="13"/>
        <v>1.7</v>
      </c>
      <c r="V900" s="45">
        <v>0</v>
      </c>
      <c r="W900" s="45">
        <v>1.7</v>
      </c>
    </row>
    <row r="901" spans="4:23" x14ac:dyDescent="0.15">
      <c r="D901" s="40" t="s">
        <v>1628</v>
      </c>
      <c r="E901" s="40" t="s">
        <v>1637</v>
      </c>
      <c r="F901" s="40" t="s">
        <v>1638</v>
      </c>
      <c r="G901" s="40">
        <v>12</v>
      </c>
      <c r="H901" s="41">
        <v>40513.521527777782</v>
      </c>
      <c r="I901" s="40">
        <v>0.42</v>
      </c>
      <c r="J901" s="40">
        <v>17897</v>
      </c>
      <c r="K901" s="40" t="s">
        <v>71</v>
      </c>
      <c r="L901" s="42">
        <v>5.04</v>
      </c>
      <c r="M901" s="40" t="s">
        <v>721</v>
      </c>
      <c r="N901" s="40">
        <v>2010</v>
      </c>
      <c r="O901" s="40" t="s">
        <v>83</v>
      </c>
      <c r="P901" s="40" t="s">
        <v>126</v>
      </c>
      <c r="Q901" s="40" t="s">
        <v>624</v>
      </c>
      <c r="R901" s="40">
        <v>12</v>
      </c>
      <c r="S901" s="40" t="b">
        <v>0</v>
      </c>
      <c r="T901" s="40" t="b">
        <v>1</v>
      </c>
      <c r="U901" s="42">
        <f t="shared" ref="U901:U964" si="14">IF(T901,L901,0)</f>
        <v>5.04</v>
      </c>
      <c r="V901" s="42">
        <v>0</v>
      </c>
      <c r="W901" s="42">
        <v>5.04</v>
      </c>
    </row>
    <row r="902" spans="4:23" x14ac:dyDescent="0.15">
      <c r="D902" s="43" t="s">
        <v>1628</v>
      </c>
      <c r="E902" s="43" t="s">
        <v>205</v>
      </c>
      <c r="F902" s="43" t="s">
        <v>206</v>
      </c>
      <c r="G902" s="43">
        <v>1</v>
      </c>
      <c r="H902" s="44">
        <v>40513.521527777782</v>
      </c>
      <c r="I902" s="43">
        <v>2.95</v>
      </c>
      <c r="J902" s="43">
        <v>17897</v>
      </c>
      <c r="K902" s="43" t="s">
        <v>71</v>
      </c>
      <c r="L902" s="45">
        <v>2.95</v>
      </c>
      <c r="M902" s="43" t="s">
        <v>721</v>
      </c>
      <c r="N902" s="43">
        <v>2010</v>
      </c>
      <c r="O902" s="43" t="s">
        <v>83</v>
      </c>
      <c r="P902" s="43" t="s">
        <v>126</v>
      </c>
      <c r="Q902" s="43" t="s">
        <v>624</v>
      </c>
      <c r="R902" s="43">
        <v>12</v>
      </c>
      <c r="S902" s="43" t="b">
        <v>0</v>
      </c>
      <c r="T902" s="43" t="b">
        <v>1</v>
      </c>
      <c r="U902" s="45">
        <f t="shared" si="14"/>
        <v>2.95</v>
      </c>
      <c r="V902" s="45">
        <v>0</v>
      </c>
      <c r="W902" s="45">
        <v>2.95</v>
      </c>
    </row>
    <row r="903" spans="4:23" x14ac:dyDescent="0.15">
      <c r="D903" s="40" t="s">
        <v>1628</v>
      </c>
      <c r="E903" s="40" t="s">
        <v>1639</v>
      </c>
      <c r="F903" s="40" t="s">
        <v>1640</v>
      </c>
      <c r="G903" s="40">
        <v>2</v>
      </c>
      <c r="H903" s="41">
        <v>40513.521527777782</v>
      </c>
      <c r="I903" s="40">
        <v>6.35</v>
      </c>
      <c r="J903" s="40">
        <v>17897</v>
      </c>
      <c r="K903" s="40" t="s">
        <v>71</v>
      </c>
      <c r="L903" s="42">
        <v>12.7</v>
      </c>
      <c r="M903" s="40" t="s">
        <v>721</v>
      </c>
      <c r="N903" s="40">
        <v>2010</v>
      </c>
      <c r="O903" s="40" t="s">
        <v>83</v>
      </c>
      <c r="P903" s="40" t="s">
        <v>126</v>
      </c>
      <c r="Q903" s="40" t="s">
        <v>624</v>
      </c>
      <c r="R903" s="40">
        <v>12</v>
      </c>
      <c r="S903" s="40" t="b">
        <v>0</v>
      </c>
      <c r="T903" s="40" t="b">
        <v>1</v>
      </c>
      <c r="U903" s="42">
        <f t="shared" si="14"/>
        <v>12.7</v>
      </c>
      <c r="V903" s="42">
        <v>0</v>
      </c>
      <c r="W903" s="42">
        <v>12.7</v>
      </c>
    </row>
    <row r="904" spans="4:23" x14ac:dyDescent="0.15">
      <c r="D904" s="43" t="s">
        <v>1628</v>
      </c>
      <c r="E904" s="43" t="s">
        <v>1641</v>
      </c>
      <c r="F904" s="43" t="s">
        <v>1642</v>
      </c>
      <c r="G904" s="43">
        <v>1</v>
      </c>
      <c r="H904" s="44">
        <v>40513.521527777782</v>
      </c>
      <c r="I904" s="43">
        <v>2.5499999999999998</v>
      </c>
      <c r="J904" s="43">
        <v>17897</v>
      </c>
      <c r="K904" s="43" t="s">
        <v>71</v>
      </c>
      <c r="L904" s="45">
        <v>2.5499999999999998</v>
      </c>
      <c r="M904" s="43" t="s">
        <v>721</v>
      </c>
      <c r="N904" s="43">
        <v>2010</v>
      </c>
      <c r="O904" s="43" t="s">
        <v>83</v>
      </c>
      <c r="P904" s="43" t="s">
        <v>126</v>
      </c>
      <c r="Q904" s="43" t="s">
        <v>624</v>
      </c>
      <c r="R904" s="43">
        <v>12</v>
      </c>
      <c r="S904" s="43" t="b">
        <v>0</v>
      </c>
      <c r="T904" s="43" t="b">
        <v>1</v>
      </c>
      <c r="U904" s="45">
        <f t="shared" si="14"/>
        <v>2.5499999999999998</v>
      </c>
      <c r="V904" s="45">
        <v>0</v>
      </c>
      <c r="W904" s="45">
        <v>2.5499999999999998</v>
      </c>
    </row>
    <row r="905" spans="4:23" x14ac:dyDescent="0.15">
      <c r="D905" s="40" t="s">
        <v>1628</v>
      </c>
      <c r="E905" s="40" t="s">
        <v>1643</v>
      </c>
      <c r="F905" s="40" t="s">
        <v>1644</v>
      </c>
      <c r="G905" s="40">
        <v>1</v>
      </c>
      <c r="H905" s="41">
        <v>40513.521527777782</v>
      </c>
      <c r="I905" s="40">
        <v>4.25</v>
      </c>
      <c r="J905" s="40">
        <v>17897</v>
      </c>
      <c r="K905" s="40" t="s">
        <v>71</v>
      </c>
      <c r="L905" s="42">
        <v>4.25</v>
      </c>
      <c r="M905" s="40" t="s">
        <v>721</v>
      </c>
      <c r="N905" s="40">
        <v>2010</v>
      </c>
      <c r="O905" s="40" t="s">
        <v>83</v>
      </c>
      <c r="P905" s="40" t="s">
        <v>126</v>
      </c>
      <c r="Q905" s="40" t="s">
        <v>624</v>
      </c>
      <c r="R905" s="40">
        <v>12</v>
      </c>
      <c r="S905" s="40" t="b">
        <v>0</v>
      </c>
      <c r="T905" s="40" t="b">
        <v>1</v>
      </c>
      <c r="U905" s="42">
        <f t="shared" si="14"/>
        <v>4.25</v>
      </c>
      <c r="V905" s="42">
        <v>0</v>
      </c>
      <c r="W905" s="42">
        <v>4.25</v>
      </c>
    </row>
    <row r="906" spans="4:23" x14ac:dyDescent="0.15">
      <c r="D906" s="43" t="s">
        <v>1628</v>
      </c>
      <c r="E906" s="43" t="s">
        <v>251</v>
      </c>
      <c r="F906" s="43" t="s">
        <v>252</v>
      </c>
      <c r="G906" s="43">
        <v>1</v>
      </c>
      <c r="H906" s="44">
        <v>40513.521527777782</v>
      </c>
      <c r="I906" s="43">
        <v>1.45</v>
      </c>
      <c r="J906" s="43">
        <v>17897</v>
      </c>
      <c r="K906" s="43" t="s">
        <v>71</v>
      </c>
      <c r="L906" s="45">
        <v>1.45</v>
      </c>
      <c r="M906" s="43" t="s">
        <v>721</v>
      </c>
      <c r="N906" s="43">
        <v>2010</v>
      </c>
      <c r="O906" s="43" t="s">
        <v>83</v>
      </c>
      <c r="P906" s="43" t="s">
        <v>126</v>
      </c>
      <c r="Q906" s="43" t="s">
        <v>624</v>
      </c>
      <c r="R906" s="43">
        <v>12</v>
      </c>
      <c r="S906" s="43" t="b">
        <v>0</v>
      </c>
      <c r="T906" s="43" t="b">
        <v>1</v>
      </c>
      <c r="U906" s="45">
        <f t="shared" si="14"/>
        <v>1.45</v>
      </c>
      <c r="V906" s="45">
        <v>0</v>
      </c>
      <c r="W906" s="45">
        <v>1.45</v>
      </c>
    </row>
    <row r="907" spans="4:23" x14ac:dyDescent="0.15">
      <c r="D907" s="40" t="s">
        <v>1628</v>
      </c>
      <c r="E907" s="40" t="s">
        <v>1645</v>
      </c>
      <c r="F907" s="40" t="s">
        <v>1646</v>
      </c>
      <c r="G907" s="40">
        <v>1</v>
      </c>
      <c r="H907" s="41">
        <v>40513.521527777782</v>
      </c>
      <c r="I907" s="40">
        <v>4.25</v>
      </c>
      <c r="J907" s="40">
        <v>17897</v>
      </c>
      <c r="K907" s="40" t="s">
        <v>71</v>
      </c>
      <c r="L907" s="42">
        <v>4.25</v>
      </c>
      <c r="M907" s="40" t="s">
        <v>721</v>
      </c>
      <c r="N907" s="40">
        <v>2010</v>
      </c>
      <c r="O907" s="40" t="s">
        <v>83</v>
      </c>
      <c r="P907" s="40" t="s">
        <v>126</v>
      </c>
      <c r="Q907" s="40" t="s">
        <v>624</v>
      </c>
      <c r="R907" s="40">
        <v>12</v>
      </c>
      <c r="S907" s="40" t="b">
        <v>0</v>
      </c>
      <c r="T907" s="40" t="b">
        <v>1</v>
      </c>
      <c r="U907" s="42">
        <f t="shared" si="14"/>
        <v>4.25</v>
      </c>
      <c r="V907" s="42">
        <v>0</v>
      </c>
      <c r="W907" s="42">
        <v>4.25</v>
      </c>
    </row>
    <row r="908" spans="4:23" x14ac:dyDescent="0.15">
      <c r="D908" s="43" t="s">
        <v>1628</v>
      </c>
      <c r="E908" s="43" t="s">
        <v>1036</v>
      </c>
      <c r="F908" s="43" t="s">
        <v>1037</v>
      </c>
      <c r="G908" s="43">
        <v>1</v>
      </c>
      <c r="H908" s="44">
        <v>40513.521527777782</v>
      </c>
      <c r="I908" s="43">
        <v>6.75</v>
      </c>
      <c r="J908" s="43">
        <v>17897</v>
      </c>
      <c r="K908" s="43" t="s">
        <v>71</v>
      </c>
      <c r="L908" s="45">
        <v>6.75</v>
      </c>
      <c r="M908" s="43" t="s">
        <v>721</v>
      </c>
      <c r="N908" s="43">
        <v>2010</v>
      </c>
      <c r="O908" s="43" t="s">
        <v>83</v>
      </c>
      <c r="P908" s="43" t="s">
        <v>126</v>
      </c>
      <c r="Q908" s="43" t="s">
        <v>624</v>
      </c>
      <c r="R908" s="43">
        <v>12</v>
      </c>
      <c r="S908" s="43" t="b">
        <v>0</v>
      </c>
      <c r="T908" s="43" t="b">
        <v>1</v>
      </c>
      <c r="U908" s="45">
        <f t="shared" si="14"/>
        <v>6.75</v>
      </c>
      <c r="V908" s="45">
        <v>0</v>
      </c>
      <c r="W908" s="45">
        <v>6.75</v>
      </c>
    </row>
    <row r="909" spans="4:23" x14ac:dyDescent="0.15">
      <c r="D909" s="40" t="s">
        <v>1628</v>
      </c>
      <c r="E909" s="40" t="s">
        <v>1335</v>
      </c>
      <c r="F909" s="40" t="s">
        <v>1336</v>
      </c>
      <c r="G909" s="40">
        <v>1</v>
      </c>
      <c r="H909" s="41">
        <v>40513.521527777782</v>
      </c>
      <c r="I909" s="40">
        <v>0.95</v>
      </c>
      <c r="J909" s="40">
        <v>17897</v>
      </c>
      <c r="K909" s="40" t="s">
        <v>71</v>
      </c>
      <c r="L909" s="42">
        <v>0.95</v>
      </c>
      <c r="M909" s="40" t="s">
        <v>721</v>
      </c>
      <c r="N909" s="40">
        <v>2010</v>
      </c>
      <c r="O909" s="40" t="s">
        <v>83</v>
      </c>
      <c r="P909" s="40" t="s">
        <v>126</v>
      </c>
      <c r="Q909" s="40" t="s">
        <v>624</v>
      </c>
      <c r="R909" s="40">
        <v>12</v>
      </c>
      <c r="S909" s="40" t="b">
        <v>0</v>
      </c>
      <c r="T909" s="40" t="b">
        <v>1</v>
      </c>
      <c r="U909" s="42">
        <f t="shared" si="14"/>
        <v>0.95</v>
      </c>
      <c r="V909" s="42">
        <v>0</v>
      </c>
      <c r="W909" s="42">
        <v>0.95</v>
      </c>
    </row>
    <row r="910" spans="4:23" x14ac:dyDescent="0.15">
      <c r="D910" s="43" t="s">
        <v>1628</v>
      </c>
      <c r="E910" s="43" t="s">
        <v>1647</v>
      </c>
      <c r="F910" s="43" t="s">
        <v>1648</v>
      </c>
      <c r="G910" s="43">
        <v>1</v>
      </c>
      <c r="H910" s="44">
        <v>40513.521527777782</v>
      </c>
      <c r="I910" s="43">
        <v>4.25</v>
      </c>
      <c r="J910" s="43">
        <v>17897</v>
      </c>
      <c r="K910" s="43" t="s">
        <v>71</v>
      </c>
      <c r="L910" s="45">
        <v>4.25</v>
      </c>
      <c r="M910" s="43" t="s">
        <v>721</v>
      </c>
      <c r="N910" s="43">
        <v>2010</v>
      </c>
      <c r="O910" s="43" t="s">
        <v>83</v>
      </c>
      <c r="P910" s="43" t="s">
        <v>126</v>
      </c>
      <c r="Q910" s="43" t="s">
        <v>624</v>
      </c>
      <c r="R910" s="43">
        <v>12</v>
      </c>
      <c r="S910" s="43" t="b">
        <v>0</v>
      </c>
      <c r="T910" s="43" t="b">
        <v>1</v>
      </c>
      <c r="U910" s="45">
        <f t="shared" si="14"/>
        <v>4.25</v>
      </c>
      <c r="V910" s="45">
        <v>0</v>
      </c>
      <c r="W910" s="45">
        <v>4.25</v>
      </c>
    </row>
    <row r="911" spans="4:23" x14ac:dyDescent="0.15">
      <c r="D911" s="40" t="s">
        <v>1628</v>
      </c>
      <c r="E911" s="40" t="s">
        <v>435</v>
      </c>
      <c r="F911" s="40" t="s">
        <v>436</v>
      </c>
      <c r="G911" s="40">
        <v>1</v>
      </c>
      <c r="H911" s="41">
        <v>40513.521527777782</v>
      </c>
      <c r="I911" s="40">
        <v>2.1</v>
      </c>
      <c r="J911" s="40">
        <v>17897</v>
      </c>
      <c r="K911" s="40" t="s">
        <v>71</v>
      </c>
      <c r="L911" s="42">
        <v>2.1</v>
      </c>
      <c r="M911" s="40" t="s">
        <v>721</v>
      </c>
      <c r="N911" s="40">
        <v>2010</v>
      </c>
      <c r="O911" s="40" t="s">
        <v>83</v>
      </c>
      <c r="P911" s="40" t="s">
        <v>126</v>
      </c>
      <c r="Q911" s="40" t="s">
        <v>624</v>
      </c>
      <c r="R911" s="40">
        <v>12</v>
      </c>
      <c r="S911" s="40" t="b">
        <v>0</v>
      </c>
      <c r="T911" s="40" t="b">
        <v>1</v>
      </c>
      <c r="U911" s="42">
        <f t="shared" si="14"/>
        <v>2.1</v>
      </c>
      <c r="V911" s="42">
        <v>0</v>
      </c>
      <c r="W911" s="42">
        <v>2.1</v>
      </c>
    </row>
    <row r="912" spans="4:23" x14ac:dyDescent="0.15">
      <c r="D912" s="43" t="s">
        <v>1628</v>
      </c>
      <c r="E912" s="43" t="s">
        <v>1325</v>
      </c>
      <c r="F912" s="43" t="s">
        <v>1326</v>
      </c>
      <c r="G912" s="43">
        <v>1</v>
      </c>
      <c r="H912" s="44">
        <v>40513.521527777782</v>
      </c>
      <c r="I912" s="43">
        <v>2.1</v>
      </c>
      <c r="J912" s="43">
        <v>17897</v>
      </c>
      <c r="K912" s="43" t="s">
        <v>71</v>
      </c>
      <c r="L912" s="45">
        <v>2.1</v>
      </c>
      <c r="M912" s="43" t="s">
        <v>721</v>
      </c>
      <c r="N912" s="43">
        <v>2010</v>
      </c>
      <c r="O912" s="43" t="s">
        <v>83</v>
      </c>
      <c r="P912" s="43" t="s">
        <v>126</v>
      </c>
      <c r="Q912" s="43" t="s">
        <v>624</v>
      </c>
      <c r="R912" s="43">
        <v>12</v>
      </c>
      <c r="S912" s="43" t="b">
        <v>0</v>
      </c>
      <c r="T912" s="43" t="b">
        <v>1</v>
      </c>
      <c r="U912" s="45">
        <f t="shared" si="14"/>
        <v>2.1</v>
      </c>
      <c r="V912" s="45">
        <v>0</v>
      </c>
      <c r="W912" s="45">
        <v>2.1</v>
      </c>
    </row>
    <row r="913" spans="4:23" x14ac:dyDescent="0.15">
      <c r="D913" s="40" t="s">
        <v>1628</v>
      </c>
      <c r="E913" s="40" t="s">
        <v>1649</v>
      </c>
      <c r="F913" s="40" t="s">
        <v>1650</v>
      </c>
      <c r="G913" s="40">
        <v>1</v>
      </c>
      <c r="H913" s="41">
        <v>40513.521527777782</v>
      </c>
      <c r="I913" s="40">
        <v>1.65</v>
      </c>
      <c r="J913" s="40">
        <v>17897</v>
      </c>
      <c r="K913" s="40" t="s">
        <v>71</v>
      </c>
      <c r="L913" s="42">
        <v>1.65</v>
      </c>
      <c r="M913" s="40" t="s">
        <v>721</v>
      </c>
      <c r="N913" s="40">
        <v>2010</v>
      </c>
      <c r="O913" s="40" t="s">
        <v>83</v>
      </c>
      <c r="P913" s="40" t="s">
        <v>126</v>
      </c>
      <c r="Q913" s="40" t="s">
        <v>624</v>
      </c>
      <c r="R913" s="40">
        <v>12</v>
      </c>
      <c r="S913" s="40" t="b">
        <v>0</v>
      </c>
      <c r="T913" s="40" t="b">
        <v>1</v>
      </c>
      <c r="U913" s="42">
        <f t="shared" si="14"/>
        <v>1.65</v>
      </c>
      <c r="V913" s="42">
        <v>0</v>
      </c>
      <c r="W913" s="42">
        <v>1.65</v>
      </c>
    </row>
    <row r="914" spans="4:23" x14ac:dyDescent="0.15">
      <c r="D914" s="43" t="s">
        <v>1628</v>
      </c>
      <c r="E914" s="43" t="s">
        <v>1651</v>
      </c>
      <c r="F914" s="43" t="s">
        <v>1652</v>
      </c>
      <c r="G914" s="43">
        <v>3</v>
      </c>
      <c r="H914" s="44">
        <v>40513.521527777782</v>
      </c>
      <c r="I914" s="43">
        <v>1.25</v>
      </c>
      <c r="J914" s="43">
        <v>17897</v>
      </c>
      <c r="K914" s="43" t="s">
        <v>71</v>
      </c>
      <c r="L914" s="45">
        <v>3.75</v>
      </c>
      <c r="M914" s="43" t="s">
        <v>721</v>
      </c>
      <c r="N914" s="43">
        <v>2010</v>
      </c>
      <c r="O914" s="43" t="s">
        <v>83</v>
      </c>
      <c r="P914" s="43" t="s">
        <v>126</v>
      </c>
      <c r="Q914" s="43" t="s">
        <v>624</v>
      </c>
      <c r="R914" s="43">
        <v>12</v>
      </c>
      <c r="S914" s="43" t="b">
        <v>0</v>
      </c>
      <c r="T914" s="43" t="b">
        <v>1</v>
      </c>
      <c r="U914" s="45">
        <f t="shared" si="14"/>
        <v>3.75</v>
      </c>
      <c r="V914" s="45">
        <v>0</v>
      </c>
      <c r="W914" s="45">
        <v>3.75</v>
      </c>
    </row>
    <row r="915" spans="4:23" x14ac:dyDescent="0.15">
      <c r="D915" s="40" t="s">
        <v>1628</v>
      </c>
      <c r="E915" s="40" t="s">
        <v>1653</v>
      </c>
      <c r="F915" s="40" t="s">
        <v>1654</v>
      </c>
      <c r="G915" s="40">
        <v>3</v>
      </c>
      <c r="H915" s="41">
        <v>40513.521527777782</v>
      </c>
      <c r="I915" s="40">
        <v>1.65</v>
      </c>
      <c r="J915" s="40">
        <v>17897</v>
      </c>
      <c r="K915" s="40" t="s">
        <v>71</v>
      </c>
      <c r="L915" s="42">
        <v>4.9499999999999993</v>
      </c>
      <c r="M915" s="40" t="s">
        <v>721</v>
      </c>
      <c r="N915" s="40">
        <v>2010</v>
      </c>
      <c r="O915" s="40" t="s">
        <v>83</v>
      </c>
      <c r="P915" s="40" t="s">
        <v>126</v>
      </c>
      <c r="Q915" s="40" t="s">
        <v>624</v>
      </c>
      <c r="R915" s="40">
        <v>12</v>
      </c>
      <c r="S915" s="40" t="b">
        <v>0</v>
      </c>
      <c r="T915" s="40" t="b">
        <v>1</v>
      </c>
      <c r="U915" s="42">
        <f t="shared" si="14"/>
        <v>4.9499999999999993</v>
      </c>
      <c r="V915" s="42">
        <v>0</v>
      </c>
      <c r="W915" s="42">
        <v>4.9499999999999993</v>
      </c>
    </row>
    <row r="916" spans="4:23" x14ac:dyDescent="0.15">
      <c r="D916" s="43" t="s">
        <v>1628</v>
      </c>
      <c r="E916" s="43" t="s">
        <v>1311</v>
      </c>
      <c r="F916" s="43" t="s">
        <v>1312</v>
      </c>
      <c r="G916" s="43">
        <v>1</v>
      </c>
      <c r="H916" s="44">
        <v>40513.521527777782</v>
      </c>
      <c r="I916" s="43">
        <v>4.25</v>
      </c>
      <c r="J916" s="43">
        <v>17897</v>
      </c>
      <c r="K916" s="43" t="s">
        <v>71</v>
      </c>
      <c r="L916" s="45">
        <v>4.25</v>
      </c>
      <c r="M916" s="43" t="s">
        <v>721</v>
      </c>
      <c r="N916" s="43">
        <v>2010</v>
      </c>
      <c r="O916" s="43" t="s">
        <v>83</v>
      </c>
      <c r="P916" s="43" t="s">
        <v>126</v>
      </c>
      <c r="Q916" s="43" t="s">
        <v>624</v>
      </c>
      <c r="R916" s="43">
        <v>12</v>
      </c>
      <c r="S916" s="43" t="b">
        <v>0</v>
      </c>
      <c r="T916" s="43" t="b">
        <v>1</v>
      </c>
      <c r="U916" s="45">
        <f t="shared" si="14"/>
        <v>4.25</v>
      </c>
      <c r="V916" s="45">
        <v>0</v>
      </c>
      <c r="W916" s="45">
        <v>4.25</v>
      </c>
    </row>
    <row r="917" spans="4:23" x14ac:dyDescent="0.15">
      <c r="D917" s="40" t="s">
        <v>1628</v>
      </c>
      <c r="E917" s="40" t="s">
        <v>1653</v>
      </c>
      <c r="F917" s="40" t="s">
        <v>1654</v>
      </c>
      <c r="G917" s="40">
        <v>1</v>
      </c>
      <c r="H917" s="41">
        <v>40513.521527777782</v>
      </c>
      <c r="I917" s="40">
        <v>1.65</v>
      </c>
      <c r="J917" s="40">
        <v>17897</v>
      </c>
      <c r="K917" s="40" t="s">
        <v>71</v>
      </c>
      <c r="L917" s="42">
        <v>1.65</v>
      </c>
      <c r="M917" s="40" t="s">
        <v>721</v>
      </c>
      <c r="N917" s="40">
        <v>2010</v>
      </c>
      <c r="O917" s="40" t="s">
        <v>83</v>
      </c>
      <c r="P917" s="40" t="s">
        <v>126</v>
      </c>
      <c r="Q917" s="40" t="s">
        <v>624</v>
      </c>
      <c r="R917" s="40">
        <v>12</v>
      </c>
      <c r="S917" s="40" t="b">
        <v>0</v>
      </c>
      <c r="T917" s="40" t="b">
        <v>1</v>
      </c>
      <c r="U917" s="42">
        <f t="shared" si="14"/>
        <v>1.65</v>
      </c>
      <c r="V917" s="42">
        <v>0</v>
      </c>
      <c r="W917" s="42">
        <v>1.65</v>
      </c>
    </row>
    <row r="918" spans="4:23" x14ac:dyDescent="0.15">
      <c r="D918" s="43" t="s">
        <v>1628</v>
      </c>
      <c r="E918" s="43" t="s">
        <v>241</v>
      </c>
      <c r="F918" s="43" t="s">
        <v>242</v>
      </c>
      <c r="G918" s="43">
        <v>3</v>
      </c>
      <c r="H918" s="44">
        <v>40513.521527777782</v>
      </c>
      <c r="I918" s="43">
        <v>2.5499999999999998</v>
      </c>
      <c r="J918" s="43">
        <v>17897</v>
      </c>
      <c r="K918" s="43" t="s">
        <v>71</v>
      </c>
      <c r="L918" s="45">
        <v>7.6499999999999986</v>
      </c>
      <c r="M918" s="43" t="s">
        <v>721</v>
      </c>
      <c r="N918" s="43">
        <v>2010</v>
      </c>
      <c r="O918" s="43" t="s">
        <v>83</v>
      </c>
      <c r="P918" s="43" t="s">
        <v>126</v>
      </c>
      <c r="Q918" s="43" t="s">
        <v>624</v>
      </c>
      <c r="R918" s="43">
        <v>12</v>
      </c>
      <c r="S918" s="43" t="b">
        <v>0</v>
      </c>
      <c r="T918" s="43" t="b">
        <v>1</v>
      </c>
      <c r="U918" s="45">
        <f t="shared" si="14"/>
        <v>7.6499999999999986</v>
      </c>
      <c r="V918" s="45">
        <v>0</v>
      </c>
      <c r="W918" s="45">
        <v>7.6499999999999986</v>
      </c>
    </row>
    <row r="919" spans="4:23" x14ac:dyDescent="0.15">
      <c r="D919" s="40" t="s">
        <v>1628</v>
      </c>
      <c r="E919" s="40" t="s">
        <v>995</v>
      </c>
      <c r="F919" s="40" t="s">
        <v>996</v>
      </c>
      <c r="G919" s="40">
        <v>1</v>
      </c>
      <c r="H919" s="41">
        <v>40513.521527777782</v>
      </c>
      <c r="I919" s="40">
        <v>1.95</v>
      </c>
      <c r="J919" s="40">
        <v>17897</v>
      </c>
      <c r="K919" s="40" t="s">
        <v>71</v>
      </c>
      <c r="L919" s="42">
        <v>1.95</v>
      </c>
      <c r="M919" s="40" t="s">
        <v>721</v>
      </c>
      <c r="N919" s="40">
        <v>2010</v>
      </c>
      <c r="O919" s="40" t="s">
        <v>83</v>
      </c>
      <c r="P919" s="40" t="s">
        <v>126</v>
      </c>
      <c r="Q919" s="40" t="s">
        <v>624</v>
      </c>
      <c r="R919" s="40">
        <v>12</v>
      </c>
      <c r="S919" s="40" t="b">
        <v>0</v>
      </c>
      <c r="T919" s="40" t="b">
        <v>1</v>
      </c>
      <c r="U919" s="42">
        <f t="shared" si="14"/>
        <v>1.95</v>
      </c>
      <c r="V919" s="42">
        <v>0</v>
      </c>
      <c r="W919" s="42">
        <v>1.95</v>
      </c>
    </row>
    <row r="920" spans="4:23" x14ac:dyDescent="0.15">
      <c r="D920" s="43" t="s">
        <v>1628</v>
      </c>
      <c r="E920" s="43" t="s">
        <v>495</v>
      </c>
      <c r="F920" s="43" t="s">
        <v>496</v>
      </c>
      <c r="G920" s="43">
        <v>2</v>
      </c>
      <c r="H920" s="44">
        <v>40513.521527777782</v>
      </c>
      <c r="I920" s="43">
        <v>2.1</v>
      </c>
      <c r="J920" s="43">
        <v>17897</v>
      </c>
      <c r="K920" s="43" t="s">
        <v>71</v>
      </c>
      <c r="L920" s="45">
        <v>4.2</v>
      </c>
      <c r="M920" s="43" t="s">
        <v>721</v>
      </c>
      <c r="N920" s="43">
        <v>2010</v>
      </c>
      <c r="O920" s="43" t="s">
        <v>83</v>
      </c>
      <c r="P920" s="43" t="s">
        <v>126</v>
      </c>
      <c r="Q920" s="43" t="s">
        <v>624</v>
      </c>
      <c r="R920" s="43">
        <v>12</v>
      </c>
      <c r="S920" s="43" t="b">
        <v>0</v>
      </c>
      <c r="T920" s="43" t="b">
        <v>1</v>
      </c>
      <c r="U920" s="45">
        <f t="shared" si="14"/>
        <v>4.2</v>
      </c>
      <c r="V920" s="45">
        <v>0</v>
      </c>
      <c r="W920" s="45">
        <v>4.2</v>
      </c>
    </row>
    <row r="921" spans="4:23" x14ac:dyDescent="0.15">
      <c r="D921" s="40" t="s">
        <v>1628</v>
      </c>
      <c r="E921" s="40" t="s">
        <v>1325</v>
      </c>
      <c r="F921" s="40" t="s">
        <v>1326</v>
      </c>
      <c r="G921" s="40">
        <v>2</v>
      </c>
      <c r="H921" s="41">
        <v>40513.521527777782</v>
      </c>
      <c r="I921" s="40">
        <v>2.1</v>
      </c>
      <c r="J921" s="40">
        <v>17897</v>
      </c>
      <c r="K921" s="40" t="s">
        <v>71</v>
      </c>
      <c r="L921" s="42">
        <v>4.2</v>
      </c>
      <c r="M921" s="40" t="s">
        <v>721</v>
      </c>
      <c r="N921" s="40">
        <v>2010</v>
      </c>
      <c r="O921" s="40" t="s">
        <v>83</v>
      </c>
      <c r="P921" s="40" t="s">
        <v>126</v>
      </c>
      <c r="Q921" s="40" t="s">
        <v>624</v>
      </c>
      <c r="R921" s="40">
        <v>12</v>
      </c>
      <c r="S921" s="40" t="b">
        <v>0</v>
      </c>
      <c r="T921" s="40" t="b">
        <v>1</v>
      </c>
      <c r="U921" s="42">
        <f t="shared" si="14"/>
        <v>4.2</v>
      </c>
      <c r="V921" s="42">
        <v>0</v>
      </c>
      <c r="W921" s="42">
        <v>4.2</v>
      </c>
    </row>
    <row r="922" spans="4:23" x14ac:dyDescent="0.15">
      <c r="D922" s="43" t="s">
        <v>1655</v>
      </c>
      <c r="E922" s="43" t="s">
        <v>942</v>
      </c>
      <c r="F922" s="43" t="s">
        <v>943</v>
      </c>
      <c r="G922" s="43">
        <v>10</v>
      </c>
      <c r="H922" s="44">
        <v>40513.524305555547</v>
      </c>
      <c r="I922" s="43">
        <v>4.95</v>
      </c>
      <c r="J922" s="43">
        <v>17377</v>
      </c>
      <c r="K922" s="43" t="s">
        <v>71</v>
      </c>
      <c r="L922" s="45">
        <v>49.5</v>
      </c>
      <c r="M922" s="43" t="s">
        <v>721</v>
      </c>
      <c r="N922" s="43">
        <v>2010</v>
      </c>
      <c r="O922" s="43" t="s">
        <v>83</v>
      </c>
      <c r="P922" s="43" t="s">
        <v>126</v>
      </c>
      <c r="Q922" s="43" t="s">
        <v>624</v>
      </c>
      <c r="R922" s="43">
        <v>12</v>
      </c>
      <c r="S922" s="43" t="b">
        <v>0</v>
      </c>
      <c r="T922" s="43" t="b">
        <v>1</v>
      </c>
      <c r="U922" s="45">
        <f t="shared" si="14"/>
        <v>49.5</v>
      </c>
      <c r="V922" s="45">
        <v>0</v>
      </c>
      <c r="W922" s="45">
        <v>49.5</v>
      </c>
    </row>
    <row r="923" spans="4:23" x14ac:dyDescent="0.15">
      <c r="D923" s="40" t="s">
        <v>1655</v>
      </c>
      <c r="E923" s="40" t="s">
        <v>1656</v>
      </c>
      <c r="F923" s="40" t="s">
        <v>1657</v>
      </c>
      <c r="G923" s="40">
        <v>10</v>
      </c>
      <c r="H923" s="41">
        <v>40513.524305555547</v>
      </c>
      <c r="I923" s="40">
        <v>1.55</v>
      </c>
      <c r="J923" s="40">
        <v>17377</v>
      </c>
      <c r="K923" s="40" t="s">
        <v>71</v>
      </c>
      <c r="L923" s="42">
        <v>15.5</v>
      </c>
      <c r="M923" s="40" t="s">
        <v>721</v>
      </c>
      <c r="N923" s="40">
        <v>2010</v>
      </c>
      <c r="O923" s="40" t="s">
        <v>83</v>
      </c>
      <c r="P923" s="40" t="s">
        <v>126</v>
      </c>
      <c r="Q923" s="40" t="s">
        <v>624</v>
      </c>
      <c r="R923" s="40">
        <v>12</v>
      </c>
      <c r="S923" s="40" t="b">
        <v>0</v>
      </c>
      <c r="T923" s="40" t="b">
        <v>1</v>
      </c>
      <c r="U923" s="42">
        <f t="shared" si="14"/>
        <v>15.5</v>
      </c>
      <c r="V923" s="42">
        <v>0</v>
      </c>
      <c r="W923" s="42">
        <v>15.5</v>
      </c>
    </row>
    <row r="924" spans="4:23" x14ac:dyDescent="0.15">
      <c r="D924" s="43" t="s">
        <v>1655</v>
      </c>
      <c r="E924" s="43" t="s">
        <v>317</v>
      </c>
      <c r="F924" s="43" t="s">
        <v>318</v>
      </c>
      <c r="G924" s="43">
        <v>2</v>
      </c>
      <c r="H924" s="44">
        <v>40513.524305555547</v>
      </c>
      <c r="I924" s="43">
        <v>1.95</v>
      </c>
      <c r="J924" s="43">
        <v>17377</v>
      </c>
      <c r="K924" s="43" t="s">
        <v>71</v>
      </c>
      <c r="L924" s="45">
        <v>3.9</v>
      </c>
      <c r="M924" s="43" t="s">
        <v>721</v>
      </c>
      <c r="N924" s="43">
        <v>2010</v>
      </c>
      <c r="O924" s="43" t="s">
        <v>83</v>
      </c>
      <c r="P924" s="43" t="s">
        <v>126</v>
      </c>
      <c r="Q924" s="43" t="s">
        <v>624</v>
      </c>
      <c r="R924" s="43">
        <v>12</v>
      </c>
      <c r="S924" s="43" t="b">
        <v>0</v>
      </c>
      <c r="T924" s="43" t="b">
        <v>1</v>
      </c>
      <c r="U924" s="45">
        <f t="shared" si="14"/>
        <v>3.9</v>
      </c>
      <c r="V924" s="45">
        <v>0</v>
      </c>
      <c r="W924" s="45">
        <v>3.9</v>
      </c>
    </row>
    <row r="925" spans="4:23" x14ac:dyDescent="0.15">
      <c r="D925" s="40" t="s">
        <v>1655</v>
      </c>
      <c r="E925" s="40" t="s">
        <v>1391</v>
      </c>
      <c r="F925" s="40" t="s">
        <v>1392</v>
      </c>
      <c r="G925" s="40">
        <v>12</v>
      </c>
      <c r="H925" s="41">
        <v>40513.524305555547</v>
      </c>
      <c r="I925" s="40">
        <v>0.28999999999999998</v>
      </c>
      <c r="J925" s="40">
        <v>17377</v>
      </c>
      <c r="K925" s="40" t="s">
        <v>71</v>
      </c>
      <c r="L925" s="42">
        <v>3.48</v>
      </c>
      <c r="M925" s="40" t="s">
        <v>721</v>
      </c>
      <c r="N925" s="40">
        <v>2010</v>
      </c>
      <c r="O925" s="40" t="s">
        <v>83</v>
      </c>
      <c r="P925" s="40" t="s">
        <v>126</v>
      </c>
      <c r="Q925" s="40" t="s">
        <v>624</v>
      </c>
      <c r="R925" s="40">
        <v>12</v>
      </c>
      <c r="S925" s="40" t="b">
        <v>0</v>
      </c>
      <c r="T925" s="40" t="b">
        <v>1</v>
      </c>
      <c r="U925" s="42">
        <f t="shared" si="14"/>
        <v>3.48</v>
      </c>
      <c r="V925" s="42">
        <v>0</v>
      </c>
      <c r="W925" s="42">
        <v>3.48</v>
      </c>
    </row>
    <row r="926" spans="4:23" x14ac:dyDescent="0.15">
      <c r="D926" s="43" t="s">
        <v>1655</v>
      </c>
      <c r="E926" s="43" t="s">
        <v>1658</v>
      </c>
      <c r="F926" s="43" t="s">
        <v>1659</v>
      </c>
      <c r="G926" s="43">
        <v>12</v>
      </c>
      <c r="H926" s="44">
        <v>40513.524305555547</v>
      </c>
      <c r="I926" s="43">
        <v>0.42</v>
      </c>
      <c r="J926" s="43">
        <v>17377</v>
      </c>
      <c r="K926" s="43" t="s">
        <v>71</v>
      </c>
      <c r="L926" s="45">
        <v>5.04</v>
      </c>
      <c r="M926" s="43" t="s">
        <v>721</v>
      </c>
      <c r="N926" s="43">
        <v>2010</v>
      </c>
      <c r="O926" s="43" t="s">
        <v>83</v>
      </c>
      <c r="P926" s="43" t="s">
        <v>126</v>
      </c>
      <c r="Q926" s="43" t="s">
        <v>624</v>
      </c>
      <c r="R926" s="43">
        <v>12</v>
      </c>
      <c r="S926" s="43" t="b">
        <v>0</v>
      </c>
      <c r="T926" s="43" t="b">
        <v>1</v>
      </c>
      <c r="U926" s="45">
        <f t="shared" si="14"/>
        <v>5.04</v>
      </c>
      <c r="V926" s="45">
        <v>0</v>
      </c>
      <c r="W926" s="45">
        <v>5.04</v>
      </c>
    </row>
    <row r="927" spans="4:23" x14ac:dyDescent="0.15">
      <c r="D927" s="40" t="s">
        <v>1655</v>
      </c>
      <c r="E927" s="40" t="s">
        <v>1660</v>
      </c>
      <c r="F927" s="40" t="s">
        <v>1661</v>
      </c>
      <c r="G927" s="40">
        <v>12</v>
      </c>
      <c r="H927" s="41">
        <v>40513.524305555547</v>
      </c>
      <c r="I927" s="40">
        <v>0.42</v>
      </c>
      <c r="J927" s="40">
        <v>17377</v>
      </c>
      <c r="K927" s="40" t="s">
        <v>71</v>
      </c>
      <c r="L927" s="42">
        <v>5.04</v>
      </c>
      <c r="M927" s="40" t="s">
        <v>721</v>
      </c>
      <c r="N927" s="40">
        <v>2010</v>
      </c>
      <c r="O927" s="40" t="s">
        <v>83</v>
      </c>
      <c r="P927" s="40" t="s">
        <v>126</v>
      </c>
      <c r="Q927" s="40" t="s">
        <v>624</v>
      </c>
      <c r="R927" s="40">
        <v>12</v>
      </c>
      <c r="S927" s="40" t="b">
        <v>0</v>
      </c>
      <c r="T927" s="40" t="b">
        <v>1</v>
      </c>
      <c r="U927" s="42">
        <f t="shared" si="14"/>
        <v>5.04</v>
      </c>
      <c r="V927" s="42">
        <v>0</v>
      </c>
      <c r="W927" s="42">
        <v>5.04</v>
      </c>
    </row>
    <row r="928" spans="4:23" x14ac:dyDescent="0.15">
      <c r="D928" s="43" t="s">
        <v>1655</v>
      </c>
      <c r="E928" s="43" t="s">
        <v>1662</v>
      </c>
      <c r="F928" s="43" t="s">
        <v>1663</v>
      </c>
      <c r="G928" s="43">
        <v>12</v>
      </c>
      <c r="H928" s="44">
        <v>40513.524305555547</v>
      </c>
      <c r="I928" s="43">
        <v>0.42</v>
      </c>
      <c r="J928" s="43">
        <v>17377</v>
      </c>
      <c r="K928" s="43" t="s">
        <v>71</v>
      </c>
      <c r="L928" s="45">
        <v>5.04</v>
      </c>
      <c r="M928" s="43" t="s">
        <v>721</v>
      </c>
      <c r="N928" s="43">
        <v>2010</v>
      </c>
      <c r="O928" s="43" t="s">
        <v>83</v>
      </c>
      <c r="P928" s="43" t="s">
        <v>126</v>
      </c>
      <c r="Q928" s="43" t="s">
        <v>624</v>
      </c>
      <c r="R928" s="43">
        <v>12</v>
      </c>
      <c r="S928" s="43" t="b">
        <v>0</v>
      </c>
      <c r="T928" s="43" t="b">
        <v>1</v>
      </c>
      <c r="U928" s="45">
        <f t="shared" si="14"/>
        <v>5.04</v>
      </c>
      <c r="V928" s="45">
        <v>0</v>
      </c>
      <c r="W928" s="45">
        <v>5.04</v>
      </c>
    </row>
    <row r="929" spans="4:23" x14ac:dyDescent="0.15">
      <c r="D929" s="40" t="s">
        <v>1655</v>
      </c>
      <c r="E929" s="40" t="s">
        <v>471</v>
      </c>
      <c r="F929" s="40" t="s">
        <v>472</v>
      </c>
      <c r="G929" s="40">
        <v>3</v>
      </c>
      <c r="H929" s="41">
        <v>40513.524305555547</v>
      </c>
      <c r="I929" s="40">
        <v>3.75</v>
      </c>
      <c r="J929" s="40">
        <v>17377</v>
      </c>
      <c r="K929" s="40" t="s">
        <v>71</v>
      </c>
      <c r="L929" s="42">
        <v>11.25</v>
      </c>
      <c r="M929" s="40" t="s">
        <v>721</v>
      </c>
      <c r="N929" s="40">
        <v>2010</v>
      </c>
      <c r="O929" s="40" t="s">
        <v>83</v>
      </c>
      <c r="P929" s="40" t="s">
        <v>126</v>
      </c>
      <c r="Q929" s="40" t="s">
        <v>624</v>
      </c>
      <c r="R929" s="40">
        <v>12</v>
      </c>
      <c r="S929" s="40" t="b">
        <v>0</v>
      </c>
      <c r="T929" s="40" t="b">
        <v>1</v>
      </c>
      <c r="U929" s="42">
        <f t="shared" si="14"/>
        <v>11.25</v>
      </c>
      <c r="V929" s="42">
        <v>0</v>
      </c>
      <c r="W929" s="42">
        <v>11.25</v>
      </c>
    </row>
    <row r="930" spans="4:23" x14ac:dyDescent="0.15">
      <c r="D930" s="43" t="s">
        <v>1655</v>
      </c>
      <c r="E930" s="43" t="s">
        <v>305</v>
      </c>
      <c r="F930" s="43" t="s">
        <v>306</v>
      </c>
      <c r="G930" s="43">
        <v>2</v>
      </c>
      <c r="H930" s="44">
        <v>40513.524305555547</v>
      </c>
      <c r="I930" s="43">
        <v>3.75</v>
      </c>
      <c r="J930" s="43">
        <v>17377</v>
      </c>
      <c r="K930" s="43" t="s">
        <v>71</v>
      </c>
      <c r="L930" s="45">
        <v>7.5</v>
      </c>
      <c r="M930" s="43" t="s">
        <v>721</v>
      </c>
      <c r="N930" s="43">
        <v>2010</v>
      </c>
      <c r="O930" s="43" t="s">
        <v>83</v>
      </c>
      <c r="P930" s="43" t="s">
        <v>126</v>
      </c>
      <c r="Q930" s="43" t="s">
        <v>624</v>
      </c>
      <c r="R930" s="43">
        <v>12</v>
      </c>
      <c r="S930" s="43" t="b">
        <v>0</v>
      </c>
      <c r="T930" s="43" t="b">
        <v>1</v>
      </c>
      <c r="U930" s="45">
        <f t="shared" si="14"/>
        <v>7.5</v>
      </c>
      <c r="V930" s="45">
        <v>0</v>
      </c>
      <c r="W930" s="45">
        <v>7.5</v>
      </c>
    </row>
    <row r="931" spans="4:23" x14ac:dyDescent="0.15">
      <c r="D931" s="40" t="s">
        <v>1655</v>
      </c>
      <c r="E931" s="40" t="s">
        <v>1664</v>
      </c>
      <c r="F931" s="40" t="s">
        <v>1665</v>
      </c>
      <c r="G931" s="40">
        <v>2</v>
      </c>
      <c r="H931" s="41">
        <v>40513.524305555547</v>
      </c>
      <c r="I931" s="40">
        <v>3.95</v>
      </c>
      <c r="J931" s="40">
        <v>17377</v>
      </c>
      <c r="K931" s="40" t="s">
        <v>71</v>
      </c>
      <c r="L931" s="42">
        <v>7.9</v>
      </c>
      <c r="M931" s="40" t="s">
        <v>721</v>
      </c>
      <c r="N931" s="40">
        <v>2010</v>
      </c>
      <c r="O931" s="40" t="s">
        <v>83</v>
      </c>
      <c r="P931" s="40" t="s">
        <v>126</v>
      </c>
      <c r="Q931" s="40" t="s">
        <v>624</v>
      </c>
      <c r="R931" s="40">
        <v>12</v>
      </c>
      <c r="S931" s="40" t="b">
        <v>0</v>
      </c>
      <c r="T931" s="40" t="b">
        <v>1</v>
      </c>
      <c r="U931" s="42">
        <f t="shared" si="14"/>
        <v>7.9</v>
      </c>
      <c r="V931" s="42">
        <v>0</v>
      </c>
      <c r="W931" s="42">
        <v>7.9</v>
      </c>
    </row>
    <row r="932" spans="4:23" x14ac:dyDescent="0.15">
      <c r="D932" s="43" t="s">
        <v>1655</v>
      </c>
      <c r="E932" s="43" t="s">
        <v>413</v>
      </c>
      <c r="F932" s="43" t="s">
        <v>414</v>
      </c>
      <c r="G932" s="43">
        <v>7</v>
      </c>
      <c r="H932" s="44">
        <v>40513.524305555547</v>
      </c>
      <c r="I932" s="43">
        <v>2.95</v>
      </c>
      <c r="J932" s="43">
        <v>17377</v>
      </c>
      <c r="K932" s="43" t="s">
        <v>71</v>
      </c>
      <c r="L932" s="45">
        <v>20.65</v>
      </c>
      <c r="M932" s="43" t="s">
        <v>721</v>
      </c>
      <c r="N932" s="43">
        <v>2010</v>
      </c>
      <c r="O932" s="43" t="s">
        <v>83</v>
      </c>
      <c r="P932" s="43" t="s">
        <v>126</v>
      </c>
      <c r="Q932" s="43" t="s">
        <v>624</v>
      </c>
      <c r="R932" s="43">
        <v>12</v>
      </c>
      <c r="S932" s="43" t="b">
        <v>0</v>
      </c>
      <c r="T932" s="43" t="b">
        <v>1</v>
      </c>
      <c r="U932" s="45">
        <f t="shared" si="14"/>
        <v>20.65</v>
      </c>
      <c r="V932" s="45">
        <v>0</v>
      </c>
      <c r="W932" s="45">
        <v>20.65</v>
      </c>
    </row>
    <row r="933" spans="4:23" x14ac:dyDescent="0.15">
      <c r="D933" s="40" t="s">
        <v>1655</v>
      </c>
      <c r="E933" s="40" t="s">
        <v>1666</v>
      </c>
      <c r="F933" s="40" t="s">
        <v>1667</v>
      </c>
      <c r="G933" s="40">
        <v>3</v>
      </c>
      <c r="H933" s="41">
        <v>40513.524305555547</v>
      </c>
      <c r="I933" s="40">
        <v>2.95</v>
      </c>
      <c r="J933" s="40">
        <v>17377</v>
      </c>
      <c r="K933" s="40" t="s">
        <v>71</v>
      </c>
      <c r="L933" s="42">
        <v>8.8500000000000014</v>
      </c>
      <c r="M933" s="40" t="s">
        <v>721</v>
      </c>
      <c r="N933" s="40">
        <v>2010</v>
      </c>
      <c r="O933" s="40" t="s">
        <v>83</v>
      </c>
      <c r="P933" s="40" t="s">
        <v>126</v>
      </c>
      <c r="Q933" s="40" t="s">
        <v>624</v>
      </c>
      <c r="R933" s="40">
        <v>12</v>
      </c>
      <c r="S933" s="40" t="b">
        <v>0</v>
      </c>
      <c r="T933" s="40" t="b">
        <v>1</v>
      </c>
      <c r="U933" s="42">
        <f t="shared" si="14"/>
        <v>8.8500000000000014</v>
      </c>
      <c r="V933" s="42">
        <v>0</v>
      </c>
      <c r="W933" s="42">
        <v>8.8500000000000014</v>
      </c>
    </row>
    <row r="934" spans="4:23" x14ac:dyDescent="0.15">
      <c r="D934" s="43" t="s">
        <v>1655</v>
      </c>
      <c r="E934" s="43" t="s">
        <v>767</v>
      </c>
      <c r="F934" s="43" t="s">
        <v>768</v>
      </c>
      <c r="G934" s="43">
        <v>3</v>
      </c>
      <c r="H934" s="44">
        <v>40513.524305555547</v>
      </c>
      <c r="I934" s="43">
        <v>2.95</v>
      </c>
      <c r="J934" s="43">
        <v>17377</v>
      </c>
      <c r="K934" s="43" t="s">
        <v>71</v>
      </c>
      <c r="L934" s="45">
        <v>8.8500000000000014</v>
      </c>
      <c r="M934" s="43" t="s">
        <v>721</v>
      </c>
      <c r="N934" s="43">
        <v>2010</v>
      </c>
      <c r="O934" s="43" t="s">
        <v>83</v>
      </c>
      <c r="P934" s="43" t="s">
        <v>126</v>
      </c>
      <c r="Q934" s="43" t="s">
        <v>624</v>
      </c>
      <c r="R934" s="43">
        <v>12</v>
      </c>
      <c r="S934" s="43" t="b">
        <v>0</v>
      </c>
      <c r="T934" s="43" t="b">
        <v>1</v>
      </c>
      <c r="U934" s="45">
        <f t="shared" si="14"/>
        <v>8.8500000000000014</v>
      </c>
      <c r="V934" s="45">
        <v>0</v>
      </c>
      <c r="W934" s="45">
        <v>8.8500000000000014</v>
      </c>
    </row>
    <row r="935" spans="4:23" x14ac:dyDescent="0.15">
      <c r="D935" s="40" t="s">
        <v>1655</v>
      </c>
      <c r="E935" s="40" t="s">
        <v>481</v>
      </c>
      <c r="F935" s="40" t="s">
        <v>482</v>
      </c>
      <c r="G935" s="40">
        <v>6</v>
      </c>
      <c r="H935" s="41">
        <v>40513.524305555547</v>
      </c>
      <c r="I935" s="40">
        <v>5.95</v>
      </c>
      <c r="J935" s="40">
        <v>17377</v>
      </c>
      <c r="K935" s="40" t="s">
        <v>71</v>
      </c>
      <c r="L935" s="42">
        <v>35.700000000000003</v>
      </c>
      <c r="M935" s="40" t="s">
        <v>721</v>
      </c>
      <c r="N935" s="40">
        <v>2010</v>
      </c>
      <c r="O935" s="40" t="s">
        <v>83</v>
      </c>
      <c r="P935" s="40" t="s">
        <v>126</v>
      </c>
      <c r="Q935" s="40" t="s">
        <v>624</v>
      </c>
      <c r="R935" s="40">
        <v>12</v>
      </c>
      <c r="S935" s="40" t="b">
        <v>0</v>
      </c>
      <c r="T935" s="40" t="b">
        <v>1</v>
      </c>
      <c r="U935" s="42">
        <f t="shared" si="14"/>
        <v>35.700000000000003</v>
      </c>
      <c r="V935" s="42">
        <v>0</v>
      </c>
      <c r="W935" s="42">
        <v>35.700000000000003</v>
      </c>
    </row>
    <row r="936" spans="4:23" x14ac:dyDescent="0.15">
      <c r="D936" s="43" t="s">
        <v>1655</v>
      </c>
      <c r="E936" s="43" t="s">
        <v>381</v>
      </c>
      <c r="F936" s="43" t="s">
        <v>382</v>
      </c>
      <c r="G936" s="43">
        <v>6</v>
      </c>
      <c r="H936" s="44">
        <v>40513.524305555547</v>
      </c>
      <c r="I936" s="43">
        <v>5.95</v>
      </c>
      <c r="J936" s="43">
        <v>17377</v>
      </c>
      <c r="K936" s="43" t="s">
        <v>71</v>
      </c>
      <c r="L936" s="45">
        <v>35.700000000000003</v>
      </c>
      <c r="M936" s="43" t="s">
        <v>721</v>
      </c>
      <c r="N936" s="43">
        <v>2010</v>
      </c>
      <c r="O936" s="43" t="s">
        <v>83</v>
      </c>
      <c r="P936" s="43" t="s">
        <v>126</v>
      </c>
      <c r="Q936" s="43" t="s">
        <v>624</v>
      </c>
      <c r="R936" s="43">
        <v>12</v>
      </c>
      <c r="S936" s="43" t="b">
        <v>0</v>
      </c>
      <c r="T936" s="43" t="b">
        <v>1</v>
      </c>
      <c r="U936" s="45">
        <f t="shared" si="14"/>
        <v>35.700000000000003</v>
      </c>
      <c r="V936" s="45">
        <v>0</v>
      </c>
      <c r="W936" s="45">
        <v>35.700000000000003</v>
      </c>
    </row>
    <row r="937" spans="4:23" x14ac:dyDescent="0.15">
      <c r="D937" s="40" t="s">
        <v>1668</v>
      </c>
      <c r="E937" s="40" t="s">
        <v>177</v>
      </c>
      <c r="F937" s="40" t="s">
        <v>178</v>
      </c>
      <c r="G937" s="40">
        <v>16</v>
      </c>
      <c r="H937" s="41">
        <v>40513.525000000001</v>
      </c>
      <c r="I937" s="40">
        <v>1.69</v>
      </c>
      <c r="J937" s="40">
        <v>16552</v>
      </c>
      <c r="K937" s="40" t="s">
        <v>71</v>
      </c>
      <c r="L937" s="42">
        <v>27.04</v>
      </c>
      <c r="M937" s="40" t="s">
        <v>721</v>
      </c>
      <c r="N937" s="40">
        <v>2010</v>
      </c>
      <c r="O937" s="40" t="s">
        <v>83</v>
      </c>
      <c r="P937" s="40" t="s">
        <v>126</v>
      </c>
      <c r="Q937" s="40" t="s">
        <v>624</v>
      </c>
      <c r="R937" s="40">
        <v>12</v>
      </c>
      <c r="S937" s="40" t="b">
        <v>0</v>
      </c>
      <c r="T937" s="40" t="b">
        <v>1</v>
      </c>
      <c r="U937" s="42">
        <f t="shared" si="14"/>
        <v>27.04</v>
      </c>
      <c r="V937" s="42">
        <v>0</v>
      </c>
      <c r="W937" s="42">
        <v>27.04</v>
      </c>
    </row>
    <row r="938" spans="4:23" x14ac:dyDescent="0.15">
      <c r="D938" s="43" t="s">
        <v>1668</v>
      </c>
      <c r="E938" s="43" t="s">
        <v>1669</v>
      </c>
      <c r="F938" s="43" t="s">
        <v>1670</v>
      </c>
      <c r="G938" s="43">
        <v>3</v>
      </c>
      <c r="H938" s="44">
        <v>40513.525000000001</v>
      </c>
      <c r="I938" s="43">
        <v>4.95</v>
      </c>
      <c r="J938" s="43">
        <v>16552</v>
      </c>
      <c r="K938" s="43" t="s">
        <v>71</v>
      </c>
      <c r="L938" s="45">
        <v>14.85</v>
      </c>
      <c r="M938" s="43" t="s">
        <v>721</v>
      </c>
      <c r="N938" s="43">
        <v>2010</v>
      </c>
      <c r="O938" s="43" t="s">
        <v>83</v>
      </c>
      <c r="P938" s="43" t="s">
        <v>126</v>
      </c>
      <c r="Q938" s="43" t="s">
        <v>624</v>
      </c>
      <c r="R938" s="43">
        <v>12</v>
      </c>
      <c r="S938" s="43" t="b">
        <v>0</v>
      </c>
      <c r="T938" s="43" t="b">
        <v>1</v>
      </c>
      <c r="U938" s="45">
        <f t="shared" si="14"/>
        <v>14.85</v>
      </c>
      <c r="V938" s="45">
        <v>0</v>
      </c>
      <c r="W938" s="45">
        <v>14.85</v>
      </c>
    </row>
    <row r="939" spans="4:23" x14ac:dyDescent="0.15">
      <c r="D939" s="40" t="s">
        <v>1668</v>
      </c>
      <c r="E939" s="40" t="s">
        <v>1671</v>
      </c>
      <c r="F939" s="40" t="s">
        <v>1672</v>
      </c>
      <c r="G939" s="40">
        <v>12</v>
      </c>
      <c r="H939" s="41">
        <v>40513.525000000001</v>
      </c>
      <c r="I939" s="40">
        <v>0.85</v>
      </c>
      <c r="J939" s="40">
        <v>16552</v>
      </c>
      <c r="K939" s="40" t="s">
        <v>71</v>
      </c>
      <c r="L939" s="42">
        <v>10.199999999999999</v>
      </c>
      <c r="M939" s="40" t="s">
        <v>721</v>
      </c>
      <c r="N939" s="40">
        <v>2010</v>
      </c>
      <c r="O939" s="40" t="s">
        <v>83</v>
      </c>
      <c r="P939" s="40" t="s">
        <v>126</v>
      </c>
      <c r="Q939" s="40" t="s">
        <v>624</v>
      </c>
      <c r="R939" s="40">
        <v>12</v>
      </c>
      <c r="S939" s="40" t="b">
        <v>0</v>
      </c>
      <c r="T939" s="40" t="b">
        <v>1</v>
      </c>
      <c r="U939" s="42">
        <f t="shared" si="14"/>
        <v>10.199999999999999</v>
      </c>
      <c r="V939" s="42">
        <v>0</v>
      </c>
      <c r="W939" s="42">
        <v>10.199999999999999</v>
      </c>
    </row>
    <row r="940" spans="4:23" x14ac:dyDescent="0.15">
      <c r="D940" s="43" t="s">
        <v>1668</v>
      </c>
      <c r="E940" s="43" t="s">
        <v>168</v>
      </c>
      <c r="F940" s="43" t="s">
        <v>102</v>
      </c>
      <c r="G940" s="43">
        <v>6</v>
      </c>
      <c r="H940" s="44">
        <v>40513.525000000001</v>
      </c>
      <c r="I940" s="43">
        <v>2.95</v>
      </c>
      <c r="J940" s="43">
        <v>16552</v>
      </c>
      <c r="K940" s="43" t="s">
        <v>71</v>
      </c>
      <c r="L940" s="45">
        <v>17.7</v>
      </c>
      <c r="M940" s="43" t="s">
        <v>721</v>
      </c>
      <c r="N940" s="43">
        <v>2010</v>
      </c>
      <c r="O940" s="43" t="s">
        <v>83</v>
      </c>
      <c r="P940" s="43" t="s">
        <v>126</v>
      </c>
      <c r="Q940" s="43" t="s">
        <v>624</v>
      </c>
      <c r="R940" s="43">
        <v>12</v>
      </c>
      <c r="S940" s="43" t="b">
        <v>0</v>
      </c>
      <c r="T940" s="43" t="b">
        <v>1</v>
      </c>
      <c r="U940" s="45">
        <f t="shared" si="14"/>
        <v>17.7</v>
      </c>
      <c r="V940" s="45">
        <v>0</v>
      </c>
      <c r="W940" s="45">
        <v>17.7</v>
      </c>
    </row>
    <row r="941" spans="4:23" x14ac:dyDescent="0.15">
      <c r="D941" s="40" t="s">
        <v>1668</v>
      </c>
      <c r="E941" s="40" t="s">
        <v>166</v>
      </c>
      <c r="F941" s="40" t="s">
        <v>100</v>
      </c>
      <c r="G941" s="40">
        <v>2</v>
      </c>
      <c r="H941" s="41">
        <v>40513.525000000001</v>
      </c>
      <c r="I941" s="40">
        <v>12.75</v>
      </c>
      <c r="J941" s="40">
        <v>16552</v>
      </c>
      <c r="K941" s="40" t="s">
        <v>71</v>
      </c>
      <c r="L941" s="42">
        <v>25.5</v>
      </c>
      <c r="M941" s="40" t="s">
        <v>721</v>
      </c>
      <c r="N941" s="40">
        <v>2010</v>
      </c>
      <c r="O941" s="40" t="s">
        <v>83</v>
      </c>
      <c r="P941" s="40" t="s">
        <v>126</v>
      </c>
      <c r="Q941" s="40" t="s">
        <v>624</v>
      </c>
      <c r="R941" s="40">
        <v>12</v>
      </c>
      <c r="S941" s="40" t="b">
        <v>0</v>
      </c>
      <c r="T941" s="40" t="b">
        <v>1</v>
      </c>
      <c r="U941" s="42">
        <f t="shared" si="14"/>
        <v>25.5</v>
      </c>
      <c r="V941" s="42">
        <v>0</v>
      </c>
      <c r="W941" s="42">
        <v>25.5</v>
      </c>
    </row>
    <row r="942" spans="4:23" x14ac:dyDescent="0.15">
      <c r="D942" s="43" t="s">
        <v>1673</v>
      </c>
      <c r="E942" s="43" t="s">
        <v>1674</v>
      </c>
      <c r="F942" s="43" t="s">
        <v>1675</v>
      </c>
      <c r="G942" s="43">
        <v>72</v>
      </c>
      <c r="H942" s="44">
        <v>40513.526388888888</v>
      </c>
      <c r="I942" s="43">
        <v>1.06</v>
      </c>
      <c r="J942" s="43">
        <v>17181</v>
      </c>
      <c r="K942" s="43" t="s">
        <v>71</v>
      </c>
      <c r="L942" s="45">
        <v>76.320000000000007</v>
      </c>
      <c r="M942" s="43" t="s">
        <v>721</v>
      </c>
      <c r="N942" s="43">
        <v>2010</v>
      </c>
      <c r="O942" s="43" t="s">
        <v>83</v>
      </c>
      <c r="P942" s="43" t="s">
        <v>126</v>
      </c>
      <c r="Q942" s="43" t="s">
        <v>624</v>
      </c>
      <c r="R942" s="43">
        <v>12</v>
      </c>
      <c r="S942" s="43" t="b">
        <v>0</v>
      </c>
      <c r="T942" s="43" t="b">
        <v>1</v>
      </c>
      <c r="U942" s="45">
        <f t="shared" si="14"/>
        <v>76.320000000000007</v>
      </c>
      <c r="V942" s="45">
        <v>0</v>
      </c>
      <c r="W942" s="45">
        <v>76.320000000000007</v>
      </c>
    </row>
    <row r="943" spans="4:23" x14ac:dyDescent="0.15">
      <c r="D943" s="40" t="s">
        <v>1673</v>
      </c>
      <c r="E943" s="40" t="s">
        <v>1284</v>
      </c>
      <c r="F943" s="40" t="s">
        <v>1285</v>
      </c>
      <c r="G943" s="40">
        <v>144</v>
      </c>
      <c r="H943" s="41">
        <v>40513.526388888888</v>
      </c>
      <c r="I943" s="40">
        <v>0.55000000000000004</v>
      </c>
      <c r="J943" s="40">
        <v>17181</v>
      </c>
      <c r="K943" s="40" t="s">
        <v>71</v>
      </c>
      <c r="L943" s="42">
        <v>79.2</v>
      </c>
      <c r="M943" s="40" t="s">
        <v>721</v>
      </c>
      <c r="N943" s="40">
        <v>2010</v>
      </c>
      <c r="O943" s="40" t="s">
        <v>83</v>
      </c>
      <c r="P943" s="40" t="s">
        <v>126</v>
      </c>
      <c r="Q943" s="40" t="s">
        <v>624</v>
      </c>
      <c r="R943" s="40">
        <v>12</v>
      </c>
      <c r="S943" s="40" t="b">
        <v>0</v>
      </c>
      <c r="T943" s="40" t="b">
        <v>1</v>
      </c>
      <c r="U943" s="42">
        <f t="shared" si="14"/>
        <v>79.2</v>
      </c>
      <c r="V943" s="42">
        <v>0</v>
      </c>
      <c r="W943" s="42">
        <v>79.2</v>
      </c>
    </row>
    <row r="944" spans="4:23" x14ac:dyDescent="0.15">
      <c r="D944" s="43" t="s">
        <v>1676</v>
      </c>
      <c r="E944" s="43" t="s">
        <v>193</v>
      </c>
      <c r="F944" s="43" t="s">
        <v>194</v>
      </c>
      <c r="G944" s="43">
        <v>-6</v>
      </c>
      <c r="H944" s="44">
        <v>40513.526388888888</v>
      </c>
      <c r="I944" s="43">
        <v>4.25</v>
      </c>
      <c r="J944" s="43">
        <v>17897</v>
      </c>
      <c r="K944" s="43" t="s">
        <v>71</v>
      </c>
      <c r="L944" s="45">
        <v>-25.5</v>
      </c>
      <c r="M944" s="43" t="s">
        <v>602</v>
      </c>
      <c r="N944" s="43">
        <v>2010</v>
      </c>
      <c r="O944" s="43" t="s">
        <v>83</v>
      </c>
      <c r="P944" s="43" t="s">
        <v>126</v>
      </c>
      <c r="Q944" s="43" t="s">
        <v>624</v>
      </c>
      <c r="R944" s="43">
        <v>12</v>
      </c>
      <c r="S944" s="43" t="b">
        <v>1</v>
      </c>
      <c r="T944" s="43" t="b">
        <v>0</v>
      </c>
      <c r="U944" s="45">
        <f t="shared" si="14"/>
        <v>0</v>
      </c>
      <c r="V944" s="45">
        <v>25.5</v>
      </c>
      <c r="W944" s="45">
        <v>-25.5</v>
      </c>
    </row>
    <row r="945" spans="4:23" x14ac:dyDescent="0.15">
      <c r="D945" s="40" t="s">
        <v>1677</v>
      </c>
      <c r="E945" s="40" t="s">
        <v>361</v>
      </c>
      <c r="F945" s="40" t="s">
        <v>362</v>
      </c>
      <c r="G945" s="40">
        <v>36</v>
      </c>
      <c r="H945" s="41">
        <v>40513.527777777781</v>
      </c>
      <c r="I945" s="40">
        <v>2.1</v>
      </c>
      <c r="J945" s="40">
        <v>17951</v>
      </c>
      <c r="K945" s="40" t="s">
        <v>71</v>
      </c>
      <c r="L945" s="42">
        <v>75.600000000000009</v>
      </c>
      <c r="M945" s="40" t="s">
        <v>721</v>
      </c>
      <c r="N945" s="40">
        <v>2010</v>
      </c>
      <c r="O945" s="40" t="s">
        <v>83</v>
      </c>
      <c r="P945" s="40" t="s">
        <v>126</v>
      </c>
      <c r="Q945" s="40" t="s">
        <v>624</v>
      </c>
      <c r="R945" s="40">
        <v>12</v>
      </c>
      <c r="S945" s="40" t="b">
        <v>0</v>
      </c>
      <c r="T945" s="40" t="b">
        <v>1</v>
      </c>
      <c r="U945" s="42">
        <f t="shared" si="14"/>
        <v>75.600000000000009</v>
      </c>
      <c r="V945" s="42">
        <v>0</v>
      </c>
      <c r="W945" s="42">
        <v>75.600000000000009</v>
      </c>
    </row>
    <row r="946" spans="4:23" x14ac:dyDescent="0.15">
      <c r="D946" s="43" t="s">
        <v>1677</v>
      </c>
      <c r="E946" s="43" t="s">
        <v>1678</v>
      </c>
      <c r="F946" s="43" t="s">
        <v>1679</v>
      </c>
      <c r="G946" s="43">
        <v>4</v>
      </c>
      <c r="H946" s="44">
        <v>40513.527777777781</v>
      </c>
      <c r="I946" s="43">
        <v>12.75</v>
      </c>
      <c r="J946" s="43">
        <v>17951</v>
      </c>
      <c r="K946" s="43" t="s">
        <v>71</v>
      </c>
      <c r="L946" s="45">
        <v>51</v>
      </c>
      <c r="M946" s="43" t="s">
        <v>721</v>
      </c>
      <c r="N946" s="43">
        <v>2010</v>
      </c>
      <c r="O946" s="43" t="s">
        <v>83</v>
      </c>
      <c r="P946" s="43" t="s">
        <v>126</v>
      </c>
      <c r="Q946" s="43" t="s">
        <v>624</v>
      </c>
      <c r="R946" s="43">
        <v>12</v>
      </c>
      <c r="S946" s="43" t="b">
        <v>0</v>
      </c>
      <c r="T946" s="43" t="b">
        <v>1</v>
      </c>
      <c r="U946" s="45">
        <f t="shared" si="14"/>
        <v>51</v>
      </c>
      <c r="V946" s="45">
        <v>0</v>
      </c>
      <c r="W946" s="45">
        <v>51</v>
      </c>
    </row>
    <row r="947" spans="4:23" x14ac:dyDescent="0.15">
      <c r="D947" s="40" t="s">
        <v>1677</v>
      </c>
      <c r="E947" s="40" t="s">
        <v>1427</v>
      </c>
      <c r="F947" s="40" t="s">
        <v>1428</v>
      </c>
      <c r="G947" s="40">
        <v>6</v>
      </c>
      <c r="H947" s="41">
        <v>40513.527777777781</v>
      </c>
      <c r="I947" s="40">
        <v>2.95</v>
      </c>
      <c r="J947" s="40">
        <v>17951</v>
      </c>
      <c r="K947" s="40" t="s">
        <v>71</v>
      </c>
      <c r="L947" s="42">
        <v>17.7</v>
      </c>
      <c r="M947" s="40" t="s">
        <v>721</v>
      </c>
      <c r="N947" s="40">
        <v>2010</v>
      </c>
      <c r="O947" s="40" t="s">
        <v>83</v>
      </c>
      <c r="P947" s="40" t="s">
        <v>126</v>
      </c>
      <c r="Q947" s="40" t="s">
        <v>624</v>
      </c>
      <c r="R947" s="40">
        <v>12</v>
      </c>
      <c r="S947" s="40" t="b">
        <v>0</v>
      </c>
      <c r="T947" s="40" t="b">
        <v>1</v>
      </c>
      <c r="U947" s="42">
        <f t="shared" si="14"/>
        <v>17.7</v>
      </c>
      <c r="V947" s="42">
        <v>0</v>
      </c>
      <c r="W947" s="42">
        <v>17.7</v>
      </c>
    </row>
    <row r="948" spans="4:23" x14ac:dyDescent="0.15">
      <c r="D948" s="43" t="s">
        <v>1677</v>
      </c>
      <c r="E948" s="43" t="s">
        <v>729</v>
      </c>
      <c r="F948" s="43" t="s">
        <v>730</v>
      </c>
      <c r="G948" s="43">
        <v>36</v>
      </c>
      <c r="H948" s="44">
        <v>40513.527777777781</v>
      </c>
      <c r="I948" s="43">
        <v>2.1</v>
      </c>
      <c r="J948" s="43">
        <v>17951</v>
      </c>
      <c r="K948" s="43" t="s">
        <v>71</v>
      </c>
      <c r="L948" s="45">
        <v>75.600000000000009</v>
      </c>
      <c r="M948" s="43" t="s">
        <v>721</v>
      </c>
      <c r="N948" s="43">
        <v>2010</v>
      </c>
      <c r="O948" s="43" t="s">
        <v>83</v>
      </c>
      <c r="P948" s="43" t="s">
        <v>126</v>
      </c>
      <c r="Q948" s="43" t="s">
        <v>624</v>
      </c>
      <c r="R948" s="43">
        <v>12</v>
      </c>
      <c r="S948" s="43" t="b">
        <v>0</v>
      </c>
      <c r="T948" s="43" t="b">
        <v>1</v>
      </c>
      <c r="U948" s="45">
        <f t="shared" si="14"/>
        <v>75.600000000000009</v>
      </c>
      <c r="V948" s="45">
        <v>0</v>
      </c>
      <c r="W948" s="45">
        <v>75.600000000000009</v>
      </c>
    </row>
    <row r="949" spans="4:23" x14ac:dyDescent="0.15">
      <c r="D949" s="40" t="s">
        <v>1677</v>
      </c>
      <c r="E949" s="40" t="s">
        <v>419</v>
      </c>
      <c r="F949" s="40" t="s">
        <v>420</v>
      </c>
      <c r="G949" s="40">
        <v>36</v>
      </c>
      <c r="H949" s="41">
        <v>40513.527777777781</v>
      </c>
      <c r="I949" s="40">
        <v>2.1</v>
      </c>
      <c r="J949" s="40">
        <v>17951</v>
      </c>
      <c r="K949" s="40" t="s">
        <v>71</v>
      </c>
      <c r="L949" s="42">
        <v>75.600000000000009</v>
      </c>
      <c r="M949" s="40" t="s">
        <v>721</v>
      </c>
      <c r="N949" s="40">
        <v>2010</v>
      </c>
      <c r="O949" s="40" t="s">
        <v>83</v>
      </c>
      <c r="P949" s="40" t="s">
        <v>126</v>
      </c>
      <c r="Q949" s="40" t="s">
        <v>624</v>
      </c>
      <c r="R949" s="40">
        <v>12</v>
      </c>
      <c r="S949" s="40" t="b">
        <v>0</v>
      </c>
      <c r="T949" s="40" t="b">
        <v>1</v>
      </c>
      <c r="U949" s="42">
        <f t="shared" si="14"/>
        <v>75.600000000000009</v>
      </c>
      <c r="V949" s="42">
        <v>0</v>
      </c>
      <c r="W949" s="42">
        <v>75.600000000000009</v>
      </c>
    </row>
    <row r="950" spans="4:23" x14ac:dyDescent="0.15">
      <c r="D950" s="43" t="s">
        <v>1680</v>
      </c>
      <c r="E950" s="43" t="s">
        <v>1681</v>
      </c>
      <c r="F950" s="43" t="s">
        <v>1682</v>
      </c>
      <c r="G950" s="43">
        <v>1</v>
      </c>
      <c r="H950" s="44">
        <v>40513.529861111107</v>
      </c>
      <c r="I950" s="43">
        <v>6.75</v>
      </c>
      <c r="J950" s="43">
        <v>14729</v>
      </c>
      <c r="K950" s="43" t="s">
        <v>71</v>
      </c>
      <c r="L950" s="45">
        <v>6.75</v>
      </c>
      <c r="M950" s="43" t="s">
        <v>721</v>
      </c>
      <c r="N950" s="43">
        <v>2010</v>
      </c>
      <c r="O950" s="43" t="s">
        <v>83</v>
      </c>
      <c r="P950" s="43" t="s">
        <v>126</v>
      </c>
      <c r="Q950" s="43" t="s">
        <v>624</v>
      </c>
      <c r="R950" s="43">
        <v>12</v>
      </c>
      <c r="S950" s="43" t="b">
        <v>0</v>
      </c>
      <c r="T950" s="43" t="b">
        <v>1</v>
      </c>
      <c r="U950" s="45">
        <f t="shared" si="14"/>
        <v>6.75</v>
      </c>
      <c r="V950" s="45">
        <v>0</v>
      </c>
      <c r="W950" s="45">
        <v>6.75</v>
      </c>
    </row>
    <row r="951" spans="4:23" x14ac:dyDescent="0.15">
      <c r="D951" s="40" t="s">
        <v>1680</v>
      </c>
      <c r="E951" s="40" t="s">
        <v>1683</v>
      </c>
      <c r="F951" s="40" t="s">
        <v>1684</v>
      </c>
      <c r="G951" s="40">
        <v>1</v>
      </c>
      <c r="H951" s="41">
        <v>40513.529861111107</v>
      </c>
      <c r="I951" s="40">
        <v>1.25</v>
      </c>
      <c r="J951" s="40">
        <v>14729</v>
      </c>
      <c r="K951" s="40" t="s">
        <v>71</v>
      </c>
      <c r="L951" s="42">
        <v>1.25</v>
      </c>
      <c r="M951" s="40" t="s">
        <v>721</v>
      </c>
      <c r="N951" s="40">
        <v>2010</v>
      </c>
      <c r="O951" s="40" t="s">
        <v>83</v>
      </c>
      <c r="P951" s="40" t="s">
        <v>126</v>
      </c>
      <c r="Q951" s="40" t="s">
        <v>624</v>
      </c>
      <c r="R951" s="40">
        <v>12</v>
      </c>
      <c r="S951" s="40" t="b">
        <v>0</v>
      </c>
      <c r="T951" s="40" t="b">
        <v>1</v>
      </c>
      <c r="U951" s="42">
        <f t="shared" si="14"/>
        <v>1.25</v>
      </c>
      <c r="V951" s="42">
        <v>0</v>
      </c>
      <c r="W951" s="42">
        <v>1.25</v>
      </c>
    </row>
    <row r="952" spans="4:23" x14ac:dyDescent="0.15">
      <c r="D952" s="43" t="s">
        <v>1680</v>
      </c>
      <c r="E952" s="43" t="s">
        <v>247</v>
      </c>
      <c r="F952" s="43" t="s">
        <v>248</v>
      </c>
      <c r="G952" s="43">
        <v>1</v>
      </c>
      <c r="H952" s="44">
        <v>40513.529861111107</v>
      </c>
      <c r="I952" s="43">
        <v>2.1</v>
      </c>
      <c r="J952" s="43">
        <v>14729</v>
      </c>
      <c r="K952" s="43" t="s">
        <v>71</v>
      </c>
      <c r="L952" s="45">
        <v>2.1</v>
      </c>
      <c r="M952" s="43" t="s">
        <v>721</v>
      </c>
      <c r="N952" s="43">
        <v>2010</v>
      </c>
      <c r="O952" s="43" t="s">
        <v>83</v>
      </c>
      <c r="P952" s="43" t="s">
        <v>126</v>
      </c>
      <c r="Q952" s="43" t="s">
        <v>624</v>
      </c>
      <c r="R952" s="43">
        <v>12</v>
      </c>
      <c r="S952" s="43" t="b">
        <v>0</v>
      </c>
      <c r="T952" s="43" t="b">
        <v>1</v>
      </c>
      <c r="U952" s="45">
        <f t="shared" si="14"/>
        <v>2.1</v>
      </c>
      <c r="V952" s="45">
        <v>0</v>
      </c>
      <c r="W952" s="45">
        <v>2.1</v>
      </c>
    </row>
    <row r="953" spans="4:23" x14ac:dyDescent="0.15">
      <c r="D953" s="40" t="s">
        <v>1680</v>
      </c>
      <c r="E953" s="40" t="s">
        <v>883</v>
      </c>
      <c r="F953" s="40" t="s">
        <v>884</v>
      </c>
      <c r="G953" s="40">
        <v>1</v>
      </c>
      <c r="H953" s="41">
        <v>40513.529861111107</v>
      </c>
      <c r="I953" s="40">
        <v>5.95</v>
      </c>
      <c r="J953" s="40">
        <v>14729</v>
      </c>
      <c r="K953" s="40" t="s">
        <v>71</v>
      </c>
      <c r="L953" s="42">
        <v>5.95</v>
      </c>
      <c r="M953" s="40" t="s">
        <v>721</v>
      </c>
      <c r="N953" s="40">
        <v>2010</v>
      </c>
      <c r="O953" s="40" t="s">
        <v>83</v>
      </c>
      <c r="P953" s="40" t="s">
        <v>126</v>
      </c>
      <c r="Q953" s="40" t="s">
        <v>624</v>
      </c>
      <c r="R953" s="40">
        <v>12</v>
      </c>
      <c r="S953" s="40" t="b">
        <v>0</v>
      </c>
      <c r="T953" s="40" t="b">
        <v>1</v>
      </c>
      <c r="U953" s="42">
        <f t="shared" si="14"/>
        <v>5.95</v>
      </c>
      <c r="V953" s="42">
        <v>0</v>
      </c>
      <c r="W953" s="42">
        <v>5.95</v>
      </c>
    </row>
    <row r="954" spans="4:23" x14ac:dyDescent="0.15">
      <c r="D954" s="43" t="s">
        <v>1680</v>
      </c>
      <c r="E954" s="43" t="s">
        <v>1685</v>
      </c>
      <c r="F954" s="43" t="s">
        <v>1686</v>
      </c>
      <c r="G954" s="43">
        <v>2</v>
      </c>
      <c r="H954" s="44">
        <v>40513.529861111107</v>
      </c>
      <c r="I954" s="43">
        <v>2.5499999999999998</v>
      </c>
      <c r="J954" s="43">
        <v>14729</v>
      </c>
      <c r="K954" s="43" t="s">
        <v>71</v>
      </c>
      <c r="L954" s="45">
        <v>5.0999999999999996</v>
      </c>
      <c r="M954" s="43" t="s">
        <v>721</v>
      </c>
      <c r="N954" s="43">
        <v>2010</v>
      </c>
      <c r="O954" s="43" t="s">
        <v>83</v>
      </c>
      <c r="P954" s="43" t="s">
        <v>126</v>
      </c>
      <c r="Q954" s="43" t="s">
        <v>624</v>
      </c>
      <c r="R954" s="43">
        <v>12</v>
      </c>
      <c r="S954" s="43" t="b">
        <v>0</v>
      </c>
      <c r="T954" s="43" t="b">
        <v>1</v>
      </c>
      <c r="U954" s="45">
        <f t="shared" si="14"/>
        <v>5.0999999999999996</v>
      </c>
      <c r="V954" s="45">
        <v>0</v>
      </c>
      <c r="W954" s="45">
        <v>5.0999999999999996</v>
      </c>
    </row>
    <row r="955" spans="4:23" x14ac:dyDescent="0.15">
      <c r="D955" s="40" t="s">
        <v>1680</v>
      </c>
      <c r="E955" s="40" t="s">
        <v>1687</v>
      </c>
      <c r="F955" s="40" t="s">
        <v>1688</v>
      </c>
      <c r="G955" s="40">
        <v>16</v>
      </c>
      <c r="H955" s="41">
        <v>40513.529861111107</v>
      </c>
      <c r="I955" s="40">
        <v>0.85</v>
      </c>
      <c r="J955" s="40">
        <v>14729</v>
      </c>
      <c r="K955" s="40" t="s">
        <v>71</v>
      </c>
      <c r="L955" s="42">
        <v>13.6</v>
      </c>
      <c r="M955" s="40" t="s">
        <v>721</v>
      </c>
      <c r="N955" s="40">
        <v>2010</v>
      </c>
      <c r="O955" s="40" t="s">
        <v>83</v>
      </c>
      <c r="P955" s="40" t="s">
        <v>126</v>
      </c>
      <c r="Q955" s="40" t="s">
        <v>624</v>
      </c>
      <c r="R955" s="40">
        <v>12</v>
      </c>
      <c r="S955" s="40" t="b">
        <v>0</v>
      </c>
      <c r="T955" s="40" t="b">
        <v>1</v>
      </c>
      <c r="U955" s="42">
        <f t="shared" si="14"/>
        <v>13.6</v>
      </c>
      <c r="V955" s="42">
        <v>0</v>
      </c>
      <c r="W955" s="42">
        <v>13.6</v>
      </c>
    </row>
    <row r="956" spans="4:23" x14ac:dyDescent="0.15">
      <c r="D956" s="43" t="s">
        <v>1680</v>
      </c>
      <c r="E956" s="43" t="s">
        <v>1437</v>
      </c>
      <c r="F956" s="43" t="s">
        <v>1438</v>
      </c>
      <c r="G956" s="43">
        <v>1</v>
      </c>
      <c r="H956" s="44">
        <v>40513.529861111107</v>
      </c>
      <c r="I956" s="43">
        <v>2.95</v>
      </c>
      <c r="J956" s="43">
        <v>14729</v>
      </c>
      <c r="K956" s="43" t="s">
        <v>71</v>
      </c>
      <c r="L956" s="45">
        <v>2.95</v>
      </c>
      <c r="M956" s="43" t="s">
        <v>721</v>
      </c>
      <c r="N956" s="43">
        <v>2010</v>
      </c>
      <c r="O956" s="43" t="s">
        <v>83</v>
      </c>
      <c r="P956" s="43" t="s">
        <v>126</v>
      </c>
      <c r="Q956" s="43" t="s">
        <v>624</v>
      </c>
      <c r="R956" s="43">
        <v>12</v>
      </c>
      <c r="S956" s="43" t="b">
        <v>0</v>
      </c>
      <c r="T956" s="43" t="b">
        <v>1</v>
      </c>
      <c r="U956" s="45">
        <f t="shared" si="14"/>
        <v>2.95</v>
      </c>
      <c r="V956" s="45">
        <v>0</v>
      </c>
      <c r="W956" s="45">
        <v>2.95</v>
      </c>
    </row>
    <row r="957" spans="4:23" x14ac:dyDescent="0.15">
      <c r="D957" s="40" t="s">
        <v>1680</v>
      </c>
      <c r="E957" s="40" t="s">
        <v>731</v>
      </c>
      <c r="F957" s="40" t="s">
        <v>1017</v>
      </c>
      <c r="G957" s="40">
        <v>4</v>
      </c>
      <c r="H957" s="41">
        <v>40513.529861111107</v>
      </c>
      <c r="I957" s="40">
        <v>2.1</v>
      </c>
      <c r="J957" s="40">
        <v>14729</v>
      </c>
      <c r="K957" s="40" t="s">
        <v>71</v>
      </c>
      <c r="L957" s="42">
        <v>8.4</v>
      </c>
      <c r="M957" s="40" t="s">
        <v>721</v>
      </c>
      <c r="N957" s="40">
        <v>2010</v>
      </c>
      <c r="O957" s="40" t="s">
        <v>83</v>
      </c>
      <c r="P957" s="40" t="s">
        <v>126</v>
      </c>
      <c r="Q957" s="40" t="s">
        <v>624</v>
      </c>
      <c r="R957" s="40">
        <v>12</v>
      </c>
      <c r="S957" s="40" t="b">
        <v>0</v>
      </c>
      <c r="T957" s="40" t="b">
        <v>1</v>
      </c>
      <c r="U957" s="42">
        <f t="shared" si="14"/>
        <v>8.4</v>
      </c>
      <c r="V957" s="42">
        <v>0</v>
      </c>
      <c r="W957" s="42">
        <v>8.4</v>
      </c>
    </row>
    <row r="958" spans="4:23" x14ac:dyDescent="0.15">
      <c r="D958" s="43" t="s">
        <v>1680</v>
      </c>
      <c r="E958" s="43" t="s">
        <v>729</v>
      </c>
      <c r="F958" s="43" t="s">
        <v>730</v>
      </c>
      <c r="G958" s="43">
        <v>3</v>
      </c>
      <c r="H958" s="44">
        <v>40513.529861111107</v>
      </c>
      <c r="I958" s="43">
        <v>2.1</v>
      </c>
      <c r="J958" s="43">
        <v>14729</v>
      </c>
      <c r="K958" s="43" t="s">
        <v>71</v>
      </c>
      <c r="L958" s="45">
        <v>6.3000000000000007</v>
      </c>
      <c r="M958" s="43" t="s">
        <v>721</v>
      </c>
      <c r="N958" s="43">
        <v>2010</v>
      </c>
      <c r="O958" s="43" t="s">
        <v>83</v>
      </c>
      <c r="P958" s="43" t="s">
        <v>126</v>
      </c>
      <c r="Q958" s="43" t="s">
        <v>624</v>
      </c>
      <c r="R958" s="43">
        <v>12</v>
      </c>
      <c r="S958" s="43" t="b">
        <v>0</v>
      </c>
      <c r="T958" s="43" t="b">
        <v>1</v>
      </c>
      <c r="U958" s="45">
        <f t="shared" si="14"/>
        <v>6.3000000000000007</v>
      </c>
      <c r="V958" s="45">
        <v>0</v>
      </c>
      <c r="W958" s="45">
        <v>6.3000000000000007</v>
      </c>
    </row>
    <row r="959" spans="4:23" x14ac:dyDescent="0.15">
      <c r="D959" s="40" t="s">
        <v>1680</v>
      </c>
      <c r="E959" s="40" t="s">
        <v>1516</v>
      </c>
      <c r="F959" s="40" t="s">
        <v>1517</v>
      </c>
      <c r="G959" s="40">
        <v>1</v>
      </c>
      <c r="H959" s="41">
        <v>40513.529861111107</v>
      </c>
      <c r="I959" s="40">
        <v>1.25</v>
      </c>
      <c r="J959" s="40">
        <v>14729</v>
      </c>
      <c r="K959" s="40" t="s">
        <v>71</v>
      </c>
      <c r="L959" s="42">
        <v>1.25</v>
      </c>
      <c r="M959" s="40" t="s">
        <v>721</v>
      </c>
      <c r="N959" s="40">
        <v>2010</v>
      </c>
      <c r="O959" s="40" t="s">
        <v>83</v>
      </c>
      <c r="P959" s="40" t="s">
        <v>126</v>
      </c>
      <c r="Q959" s="40" t="s">
        <v>624</v>
      </c>
      <c r="R959" s="40">
        <v>12</v>
      </c>
      <c r="S959" s="40" t="b">
        <v>0</v>
      </c>
      <c r="T959" s="40" t="b">
        <v>1</v>
      </c>
      <c r="U959" s="42">
        <f t="shared" si="14"/>
        <v>1.25</v>
      </c>
      <c r="V959" s="42">
        <v>0</v>
      </c>
      <c r="W959" s="42">
        <v>1.25</v>
      </c>
    </row>
    <row r="960" spans="4:23" x14ac:dyDescent="0.15">
      <c r="D960" s="43" t="s">
        <v>1680</v>
      </c>
      <c r="E960" s="43" t="s">
        <v>1280</v>
      </c>
      <c r="F960" s="43" t="s">
        <v>1281</v>
      </c>
      <c r="G960" s="43">
        <v>1</v>
      </c>
      <c r="H960" s="44">
        <v>40513.529861111107</v>
      </c>
      <c r="I960" s="43">
        <v>1.25</v>
      </c>
      <c r="J960" s="43">
        <v>14729</v>
      </c>
      <c r="K960" s="43" t="s">
        <v>71</v>
      </c>
      <c r="L960" s="45">
        <v>1.25</v>
      </c>
      <c r="M960" s="43" t="s">
        <v>721</v>
      </c>
      <c r="N960" s="43">
        <v>2010</v>
      </c>
      <c r="O960" s="43" t="s">
        <v>83</v>
      </c>
      <c r="P960" s="43" t="s">
        <v>126</v>
      </c>
      <c r="Q960" s="43" t="s">
        <v>624</v>
      </c>
      <c r="R960" s="43">
        <v>12</v>
      </c>
      <c r="S960" s="43" t="b">
        <v>0</v>
      </c>
      <c r="T960" s="43" t="b">
        <v>1</v>
      </c>
      <c r="U960" s="45">
        <f t="shared" si="14"/>
        <v>1.25</v>
      </c>
      <c r="V960" s="45">
        <v>0</v>
      </c>
      <c r="W960" s="45">
        <v>1.25</v>
      </c>
    </row>
    <row r="961" spans="4:23" x14ac:dyDescent="0.15">
      <c r="D961" s="40" t="s">
        <v>1680</v>
      </c>
      <c r="E961" s="40" t="s">
        <v>1689</v>
      </c>
      <c r="F961" s="40" t="s">
        <v>1690</v>
      </c>
      <c r="G961" s="40">
        <v>1</v>
      </c>
      <c r="H961" s="41">
        <v>40513.529861111107</v>
      </c>
      <c r="I961" s="40">
        <v>12.75</v>
      </c>
      <c r="J961" s="40">
        <v>14729</v>
      </c>
      <c r="K961" s="40" t="s">
        <v>71</v>
      </c>
      <c r="L961" s="42">
        <v>12.75</v>
      </c>
      <c r="M961" s="40" t="s">
        <v>721</v>
      </c>
      <c r="N961" s="40">
        <v>2010</v>
      </c>
      <c r="O961" s="40" t="s">
        <v>83</v>
      </c>
      <c r="P961" s="40" t="s">
        <v>126</v>
      </c>
      <c r="Q961" s="40" t="s">
        <v>624</v>
      </c>
      <c r="R961" s="40">
        <v>12</v>
      </c>
      <c r="S961" s="40" t="b">
        <v>0</v>
      </c>
      <c r="T961" s="40" t="b">
        <v>1</v>
      </c>
      <c r="U961" s="42">
        <f t="shared" si="14"/>
        <v>12.75</v>
      </c>
      <c r="V961" s="42">
        <v>0</v>
      </c>
      <c r="W961" s="42">
        <v>12.75</v>
      </c>
    </row>
    <row r="962" spans="4:23" x14ac:dyDescent="0.15">
      <c r="D962" s="43" t="s">
        <v>1680</v>
      </c>
      <c r="E962" s="43" t="s">
        <v>1691</v>
      </c>
      <c r="F962" s="43" t="s">
        <v>1692</v>
      </c>
      <c r="G962" s="43">
        <v>2</v>
      </c>
      <c r="H962" s="44">
        <v>40513.529861111107</v>
      </c>
      <c r="I962" s="43">
        <v>3.75</v>
      </c>
      <c r="J962" s="43">
        <v>14729</v>
      </c>
      <c r="K962" s="43" t="s">
        <v>71</v>
      </c>
      <c r="L962" s="45">
        <v>7.5</v>
      </c>
      <c r="M962" s="43" t="s">
        <v>721</v>
      </c>
      <c r="N962" s="43">
        <v>2010</v>
      </c>
      <c r="O962" s="43" t="s">
        <v>83</v>
      </c>
      <c r="P962" s="43" t="s">
        <v>126</v>
      </c>
      <c r="Q962" s="43" t="s">
        <v>624</v>
      </c>
      <c r="R962" s="43">
        <v>12</v>
      </c>
      <c r="S962" s="43" t="b">
        <v>0</v>
      </c>
      <c r="T962" s="43" t="b">
        <v>1</v>
      </c>
      <c r="U962" s="45">
        <f t="shared" si="14"/>
        <v>7.5</v>
      </c>
      <c r="V962" s="45">
        <v>0</v>
      </c>
      <c r="W962" s="45">
        <v>7.5</v>
      </c>
    </row>
    <row r="963" spans="4:23" x14ac:dyDescent="0.15">
      <c r="D963" s="40" t="s">
        <v>1680</v>
      </c>
      <c r="E963" s="40" t="s">
        <v>221</v>
      </c>
      <c r="F963" s="40" t="s">
        <v>222</v>
      </c>
      <c r="G963" s="40">
        <v>1</v>
      </c>
      <c r="H963" s="41">
        <v>40513.529861111107</v>
      </c>
      <c r="I963" s="40">
        <v>2.95</v>
      </c>
      <c r="J963" s="40">
        <v>14729</v>
      </c>
      <c r="K963" s="40" t="s">
        <v>71</v>
      </c>
      <c r="L963" s="42">
        <v>2.95</v>
      </c>
      <c r="M963" s="40" t="s">
        <v>721</v>
      </c>
      <c r="N963" s="40">
        <v>2010</v>
      </c>
      <c r="O963" s="40" t="s">
        <v>83</v>
      </c>
      <c r="P963" s="40" t="s">
        <v>126</v>
      </c>
      <c r="Q963" s="40" t="s">
        <v>624</v>
      </c>
      <c r="R963" s="40">
        <v>12</v>
      </c>
      <c r="S963" s="40" t="b">
        <v>0</v>
      </c>
      <c r="T963" s="40" t="b">
        <v>1</v>
      </c>
      <c r="U963" s="42">
        <f t="shared" si="14"/>
        <v>2.95</v>
      </c>
      <c r="V963" s="42">
        <v>0</v>
      </c>
      <c r="W963" s="42">
        <v>2.95</v>
      </c>
    </row>
    <row r="964" spans="4:23" x14ac:dyDescent="0.15">
      <c r="D964" s="43" t="s">
        <v>1680</v>
      </c>
      <c r="E964" s="43" t="s">
        <v>1693</v>
      </c>
      <c r="F964" s="43" t="s">
        <v>1694</v>
      </c>
      <c r="G964" s="43">
        <v>1</v>
      </c>
      <c r="H964" s="44">
        <v>40513.529861111107</v>
      </c>
      <c r="I964" s="43">
        <v>3.75</v>
      </c>
      <c r="J964" s="43">
        <v>14729</v>
      </c>
      <c r="K964" s="43" t="s">
        <v>71</v>
      </c>
      <c r="L964" s="45">
        <v>3.75</v>
      </c>
      <c r="M964" s="43" t="s">
        <v>721</v>
      </c>
      <c r="N964" s="43">
        <v>2010</v>
      </c>
      <c r="O964" s="43" t="s">
        <v>83</v>
      </c>
      <c r="P964" s="43" t="s">
        <v>126</v>
      </c>
      <c r="Q964" s="43" t="s">
        <v>624</v>
      </c>
      <c r="R964" s="43">
        <v>12</v>
      </c>
      <c r="S964" s="43" t="b">
        <v>0</v>
      </c>
      <c r="T964" s="43" t="b">
        <v>1</v>
      </c>
      <c r="U964" s="45">
        <f t="shared" si="14"/>
        <v>3.75</v>
      </c>
      <c r="V964" s="45">
        <v>0</v>
      </c>
      <c r="W964" s="45">
        <v>3.75</v>
      </c>
    </row>
    <row r="965" spans="4:23" x14ac:dyDescent="0.15">
      <c r="D965" s="40" t="s">
        <v>1680</v>
      </c>
      <c r="E965" s="40" t="s">
        <v>1695</v>
      </c>
      <c r="F965" s="40" t="s">
        <v>1696</v>
      </c>
      <c r="G965" s="40">
        <v>14</v>
      </c>
      <c r="H965" s="41">
        <v>40513.529861111107</v>
      </c>
      <c r="I965" s="40">
        <v>0.42</v>
      </c>
      <c r="J965" s="40">
        <v>14729</v>
      </c>
      <c r="K965" s="40" t="s">
        <v>71</v>
      </c>
      <c r="L965" s="42">
        <v>5.88</v>
      </c>
      <c r="M965" s="40" t="s">
        <v>721</v>
      </c>
      <c r="N965" s="40">
        <v>2010</v>
      </c>
      <c r="O965" s="40" t="s">
        <v>83</v>
      </c>
      <c r="P965" s="40" t="s">
        <v>126</v>
      </c>
      <c r="Q965" s="40" t="s">
        <v>624</v>
      </c>
      <c r="R965" s="40">
        <v>12</v>
      </c>
      <c r="S965" s="40" t="b">
        <v>0</v>
      </c>
      <c r="T965" s="40" t="b">
        <v>1</v>
      </c>
      <c r="U965" s="42">
        <f t="shared" ref="U965:U1004" si="15">IF(T965,L965,0)</f>
        <v>5.88</v>
      </c>
      <c r="V965" s="42">
        <v>0</v>
      </c>
      <c r="W965" s="42">
        <v>5.88</v>
      </c>
    </row>
    <row r="966" spans="4:23" x14ac:dyDescent="0.15">
      <c r="D966" s="43" t="s">
        <v>1680</v>
      </c>
      <c r="E966" s="43" t="s">
        <v>1697</v>
      </c>
      <c r="F966" s="43" t="s">
        <v>1698</v>
      </c>
      <c r="G966" s="43">
        <v>4</v>
      </c>
      <c r="H966" s="44">
        <v>40513.529861111107</v>
      </c>
      <c r="I966" s="43">
        <v>2.5499999999999998</v>
      </c>
      <c r="J966" s="43">
        <v>14729</v>
      </c>
      <c r="K966" s="43" t="s">
        <v>71</v>
      </c>
      <c r="L966" s="45">
        <v>10.199999999999999</v>
      </c>
      <c r="M966" s="43" t="s">
        <v>721</v>
      </c>
      <c r="N966" s="43">
        <v>2010</v>
      </c>
      <c r="O966" s="43" t="s">
        <v>83</v>
      </c>
      <c r="P966" s="43" t="s">
        <v>126</v>
      </c>
      <c r="Q966" s="43" t="s">
        <v>624</v>
      </c>
      <c r="R966" s="43">
        <v>12</v>
      </c>
      <c r="S966" s="43" t="b">
        <v>0</v>
      </c>
      <c r="T966" s="43" t="b">
        <v>1</v>
      </c>
      <c r="U966" s="45">
        <f t="shared" si="15"/>
        <v>10.199999999999999</v>
      </c>
      <c r="V966" s="45">
        <v>0</v>
      </c>
      <c r="W966" s="45">
        <v>10.199999999999999</v>
      </c>
    </row>
    <row r="967" spans="4:23" x14ac:dyDescent="0.15">
      <c r="D967" s="40" t="s">
        <v>1680</v>
      </c>
      <c r="E967" s="40" t="s">
        <v>1699</v>
      </c>
      <c r="F967" s="40" t="s">
        <v>1700</v>
      </c>
      <c r="G967" s="40">
        <v>4</v>
      </c>
      <c r="H967" s="41">
        <v>40513.529861111107</v>
      </c>
      <c r="I967" s="40">
        <v>2.5499999999999998</v>
      </c>
      <c r="J967" s="40">
        <v>14729</v>
      </c>
      <c r="K967" s="40" t="s">
        <v>71</v>
      </c>
      <c r="L967" s="42">
        <v>10.199999999999999</v>
      </c>
      <c r="M967" s="40" t="s">
        <v>721</v>
      </c>
      <c r="N967" s="40">
        <v>2010</v>
      </c>
      <c r="O967" s="40" t="s">
        <v>83</v>
      </c>
      <c r="P967" s="40" t="s">
        <v>126</v>
      </c>
      <c r="Q967" s="40" t="s">
        <v>624</v>
      </c>
      <c r="R967" s="40">
        <v>12</v>
      </c>
      <c r="S967" s="40" t="b">
        <v>0</v>
      </c>
      <c r="T967" s="40" t="b">
        <v>1</v>
      </c>
      <c r="U967" s="42">
        <f t="shared" si="15"/>
        <v>10.199999999999999</v>
      </c>
      <c r="V967" s="42">
        <v>0</v>
      </c>
      <c r="W967" s="42">
        <v>10.199999999999999</v>
      </c>
    </row>
    <row r="968" spans="4:23" x14ac:dyDescent="0.15">
      <c r="D968" s="43" t="s">
        <v>1680</v>
      </c>
      <c r="E968" s="43" t="s">
        <v>1701</v>
      </c>
      <c r="F968" s="43" t="s">
        <v>1702</v>
      </c>
      <c r="G968" s="43">
        <v>3</v>
      </c>
      <c r="H968" s="44">
        <v>40513.529861111107</v>
      </c>
      <c r="I968" s="43">
        <v>2.5499999999999998</v>
      </c>
      <c r="J968" s="43">
        <v>14729</v>
      </c>
      <c r="K968" s="43" t="s">
        <v>71</v>
      </c>
      <c r="L968" s="45">
        <v>7.6499999999999986</v>
      </c>
      <c r="M968" s="43" t="s">
        <v>721</v>
      </c>
      <c r="N968" s="43">
        <v>2010</v>
      </c>
      <c r="O968" s="43" t="s">
        <v>83</v>
      </c>
      <c r="P968" s="43" t="s">
        <v>126</v>
      </c>
      <c r="Q968" s="43" t="s">
        <v>624</v>
      </c>
      <c r="R968" s="43">
        <v>12</v>
      </c>
      <c r="S968" s="43" t="b">
        <v>0</v>
      </c>
      <c r="T968" s="43" t="b">
        <v>1</v>
      </c>
      <c r="U968" s="45">
        <f t="shared" si="15"/>
        <v>7.6499999999999986</v>
      </c>
      <c r="V968" s="45">
        <v>0</v>
      </c>
      <c r="W968" s="45">
        <v>7.6499999999999986</v>
      </c>
    </row>
    <row r="969" spans="4:23" x14ac:dyDescent="0.15">
      <c r="D969" s="40" t="s">
        <v>1680</v>
      </c>
      <c r="E969" s="40" t="s">
        <v>1703</v>
      </c>
      <c r="F969" s="40" t="s">
        <v>1704</v>
      </c>
      <c r="G969" s="40">
        <v>2</v>
      </c>
      <c r="H969" s="41">
        <v>40513.529861111107</v>
      </c>
      <c r="I969" s="40">
        <v>1.25</v>
      </c>
      <c r="J969" s="40">
        <v>14729</v>
      </c>
      <c r="K969" s="40" t="s">
        <v>71</v>
      </c>
      <c r="L969" s="42">
        <v>2.5</v>
      </c>
      <c r="M969" s="40" t="s">
        <v>721</v>
      </c>
      <c r="N969" s="40">
        <v>2010</v>
      </c>
      <c r="O969" s="40" t="s">
        <v>83</v>
      </c>
      <c r="P969" s="40" t="s">
        <v>126</v>
      </c>
      <c r="Q969" s="40" t="s">
        <v>624</v>
      </c>
      <c r="R969" s="40">
        <v>12</v>
      </c>
      <c r="S969" s="40" t="b">
        <v>0</v>
      </c>
      <c r="T969" s="40" t="b">
        <v>1</v>
      </c>
      <c r="U969" s="42">
        <f t="shared" si="15"/>
        <v>2.5</v>
      </c>
      <c r="V969" s="42">
        <v>0</v>
      </c>
      <c r="W969" s="42">
        <v>2.5</v>
      </c>
    </row>
    <row r="970" spans="4:23" x14ac:dyDescent="0.15">
      <c r="D970" s="43" t="s">
        <v>1680</v>
      </c>
      <c r="E970" s="43" t="s">
        <v>992</v>
      </c>
      <c r="F970" s="43" t="s">
        <v>993</v>
      </c>
      <c r="G970" s="43">
        <v>1</v>
      </c>
      <c r="H970" s="44">
        <v>40513.529861111107</v>
      </c>
      <c r="I970" s="43">
        <v>1.65</v>
      </c>
      <c r="J970" s="43">
        <v>14729</v>
      </c>
      <c r="K970" s="43" t="s">
        <v>71</v>
      </c>
      <c r="L970" s="45">
        <v>1.65</v>
      </c>
      <c r="M970" s="43" t="s">
        <v>721</v>
      </c>
      <c r="N970" s="43">
        <v>2010</v>
      </c>
      <c r="O970" s="43" t="s">
        <v>83</v>
      </c>
      <c r="P970" s="43" t="s">
        <v>126</v>
      </c>
      <c r="Q970" s="43" t="s">
        <v>624</v>
      </c>
      <c r="R970" s="43">
        <v>12</v>
      </c>
      <c r="S970" s="43" t="b">
        <v>0</v>
      </c>
      <c r="T970" s="43" t="b">
        <v>1</v>
      </c>
      <c r="U970" s="45">
        <f t="shared" si="15"/>
        <v>1.65</v>
      </c>
      <c r="V970" s="45">
        <v>0</v>
      </c>
      <c r="W970" s="45">
        <v>1.65</v>
      </c>
    </row>
    <row r="971" spans="4:23" x14ac:dyDescent="0.15">
      <c r="D971" s="40" t="s">
        <v>1680</v>
      </c>
      <c r="E971" s="40" t="s">
        <v>455</v>
      </c>
      <c r="F971" s="40" t="s">
        <v>456</v>
      </c>
      <c r="G971" s="40">
        <v>1</v>
      </c>
      <c r="H971" s="41">
        <v>40513.529861111107</v>
      </c>
      <c r="I971" s="40">
        <v>1.65</v>
      </c>
      <c r="J971" s="40">
        <v>14729</v>
      </c>
      <c r="K971" s="40" t="s">
        <v>71</v>
      </c>
      <c r="L971" s="42">
        <v>1.65</v>
      </c>
      <c r="M971" s="40" t="s">
        <v>721</v>
      </c>
      <c r="N971" s="40">
        <v>2010</v>
      </c>
      <c r="O971" s="40" t="s">
        <v>83</v>
      </c>
      <c r="P971" s="40" t="s">
        <v>126</v>
      </c>
      <c r="Q971" s="40" t="s">
        <v>624</v>
      </c>
      <c r="R971" s="40">
        <v>12</v>
      </c>
      <c r="S971" s="40" t="b">
        <v>0</v>
      </c>
      <c r="T971" s="40" t="b">
        <v>1</v>
      </c>
      <c r="U971" s="42">
        <f t="shared" si="15"/>
        <v>1.65</v>
      </c>
      <c r="V971" s="42">
        <v>0</v>
      </c>
      <c r="W971" s="42">
        <v>1.65</v>
      </c>
    </row>
    <row r="972" spans="4:23" x14ac:dyDescent="0.15">
      <c r="D972" s="43" t="s">
        <v>1680</v>
      </c>
      <c r="E972" s="43" t="s">
        <v>1705</v>
      </c>
      <c r="F972" s="43" t="s">
        <v>1706</v>
      </c>
      <c r="G972" s="43">
        <v>1</v>
      </c>
      <c r="H972" s="44">
        <v>40513.529861111107</v>
      </c>
      <c r="I972" s="43">
        <v>1.95</v>
      </c>
      <c r="J972" s="43">
        <v>14729</v>
      </c>
      <c r="K972" s="43" t="s">
        <v>71</v>
      </c>
      <c r="L972" s="45">
        <v>1.95</v>
      </c>
      <c r="M972" s="43" t="s">
        <v>721</v>
      </c>
      <c r="N972" s="43">
        <v>2010</v>
      </c>
      <c r="O972" s="43" t="s">
        <v>83</v>
      </c>
      <c r="P972" s="43" t="s">
        <v>126</v>
      </c>
      <c r="Q972" s="43" t="s">
        <v>624</v>
      </c>
      <c r="R972" s="43">
        <v>12</v>
      </c>
      <c r="S972" s="43" t="b">
        <v>0</v>
      </c>
      <c r="T972" s="43" t="b">
        <v>1</v>
      </c>
      <c r="U972" s="45">
        <f t="shared" si="15"/>
        <v>1.95</v>
      </c>
      <c r="V972" s="45">
        <v>0</v>
      </c>
      <c r="W972" s="45">
        <v>1.95</v>
      </c>
    </row>
    <row r="973" spans="4:23" x14ac:dyDescent="0.15">
      <c r="D973" s="40" t="s">
        <v>1680</v>
      </c>
      <c r="E973" s="40" t="s">
        <v>990</v>
      </c>
      <c r="F973" s="40" t="s">
        <v>991</v>
      </c>
      <c r="G973" s="40">
        <v>2</v>
      </c>
      <c r="H973" s="41">
        <v>40513.529861111107</v>
      </c>
      <c r="I973" s="40">
        <v>1.65</v>
      </c>
      <c r="J973" s="40">
        <v>14729</v>
      </c>
      <c r="K973" s="40" t="s">
        <v>71</v>
      </c>
      <c r="L973" s="42">
        <v>3.3</v>
      </c>
      <c r="M973" s="40" t="s">
        <v>721</v>
      </c>
      <c r="N973" s="40">
        <v>2010</v>
      </c>
      <c r="O973" s="40" t="s">
        <v>83</v>
      </c>
      <c r="P973" s="40" t="s">
        <v>126</v>
      </c>
      <c r="Q973" s="40" t="s">
        <v>624</v>
      </c>
      <c r="R973" s="40">
        <v>12</v>
      </c>
      <c r="S973" s="40" t="b">
        <v>0</v>
      </c>
      <c r="T973" s="40" t="b">
        <v>1</v>
      </c>
      <c r="U973" s="42">
        <f t="shared" si="15"/>
        <v>3.3</v>
      </c>
      <c r="V973" s="42">
        <v>0</v>
      </c>
      <c r="W973" s="42">
        <v>3.3</v>
      </c>
    </row>
    <row r="974" spans="4:23" x14ac:dyDescent="0.15">
      <c r="D974" s="43" t="s">
        <v>1680</v>
      </c>
      <c r="E974" s="43" t="s">
        <v>1707</v>
      </c>
      <c r="F974" s="43" t="s">
        <v>1708</v>
      </c>
      <c r="G974" s="43">
        <v>6</v>
      </c>
      <c r="H974" s="44">
        <v>40513.529861111107</v>
      </c>
      <c r="I974" s="43">
        <v>1.65</v>
      </c>
      <c r="J974" s="43">
        <v>14729</v>
      </c>
      <c r="K974" s="43" t="s">
        <v>71</v>
      </c>
      <c r="L974" s="45">
        <v>9.8999999999999986</v>
      </c>
      <c r="M974" s="43" t="s">
        <v>721</v>
      </c>
      <c r="N974" s="43">
        <v>2010</v>
      </c>
      <c r="O974" s="43" t="s">
        <v>83</v>
      </c>
      <c r="P974" s="43" t="s">
        <v>126</v>
      </c>
      <c r="Q974" s="43" t="s">
        <v>624</v>
      </c>
      <c r="R974" s="43">
        <v>12</v>
      </c>
      <c r="S974" s="43" t="b">
        <v>0</v>
      </c>
      <c r="T974" s="43" t="b">
        <v>1</v>
      </c>
      <c r="U974" s="45">
        <f t="shared" si="15"/>
        <v>9.8999999999999986</v>
      </c>
      <c r="V974" s="45">
        <v>0</v>
      </c>
      <c r="W974" s="45">
        <v>9.8999999999999986</v>
      </c>
    </row>
    <row r="975" spans="4:23" x14ac:dyDescent="0.15">
      <c r="D975" s="40" t="s">
        <v>1680</v>
      </c>
      <c r="E975" s="40" t="s">
        <v>1709</v>
      </c>
      <c r="F975" s="40" t="s">
        <v>1710</v>
      </c>
      <c r="G975" s="40">
        <v>1</v>
      </c>
      <c r="H975" s="41">
        <v>40513.529861111107</v>
      </c>
      <c r="I975" s="40">
        <v>0.85</v>
      </c>
      <c r="J975" s="40">
        <v>14729</v>
      </c>
      <c r="K975" s="40" t="s">
        <v>71</v>
      </c>
      <c r="L975" s="42">
        <v>0.85</v>
      </c>
      <c r="M975" s="40" t="s">
        <v>721</v>
      </c>
      <c r="N975" s="40">
        <v>2010</v>
      </c>
      <c r="O975" s="40" t="s">
        <v>83</v>
      </c>
      <c r="P975" s="40" t="s">
        <v>126</v>
      </c>
      <c r="Q975" s="40" t="s">
        <v>624</v>
      </c>
      <c r="R975" s="40">
        <v>12</v>
      </c>
      <c r="S975" s="40" t="b">
        <v>0</v>
      </c>
      <c r="T975" s="40" t="b">
        <v>1</v>
      </c>
      <c r="U975" s="42">
        <f t="shared" si="15"/>
        <v>0.85</v>
      </c>
      <c r="V975" s="42">
        <v>0</v>
      </c>
      <c r="W975" s="42">
        <v>0.85</v>
      </c>
    </row>
    <row r="976" spans="4:23" x14ac:dyDescent="0.15">
      <c r="D976" s="43" t="s">
        <v>1680</v>
      </c>
      <c r="E976" s="43" t="s">
        <v>1432</v>
      </c>
      <c r="F976" s="43" t="s">
        <v>1433</v>
      </c>
      <c r="G976" s="43">
        <v>5</v>
      </c>
      <c r="H976" s="44">
        <v>40513.529861111107</v>
      </c>
      <c r="I976" s="43">
        <v>1.95</v>
      </c>
      <c r="J976" s="43">
        <v>14729</v>
      </c>
      <c r="K976" s="43" t="s">
        <v>71</v>
      </c>
      <c r="L976" s="45">
        <v>9.75</v>
      </c>
      <c r="M976" s="43" t="s">
        <v>721</v>
      </c>
      <c r="N976" s="43">
        <v>2010</v>
      </c>
      <c r="O976" s="43" t="s">
        <v>83</v>
      </c>
      <c r="P976" s="43" t="s">
        <v>126</v>
      </c>
      <c r="Q976" s="43" t="s">
        <v>624</v>
      </c>
      <c r="R976" s="43">
        <v>12</v>
      </c>
      <c r="S976" s="43" t="b">
        <v>0</v>
      </c>
      <c r="T976" s="43" t="b">
        <v>1</v>
      </c>
      <c r="U976" s="45">
        <f t="shared" si="15"/>
        <v>9.75</v>
      </c>
      <c r="V976" s="45">
        <v>0</v>
      </c>
      <c r="W976" s="45">
        <v>9.75</v>
      </c>
    </row>
    <row r="977" spans="4:23" x14ac:dyDescent="0.15">
      <c r="D977" s="40" t="s">
        <v>1680</v>
      </c>
      <c r="E977" s="40" t="s">
        <v>1227</v>
      </c>
      <c r="F977" s="40" t="s">
        <v>1228</v>
      </c>
      <c r="G977" s="40">
        <v>3</v>
      </c>
      <c r="H977" s="41">
        <v>40513.529861111107</v>
      </c>
      <c r="I977" s="40">
        <v>1.95</v>
      </c>
      <c r="J977" s="40">
        <v>14729</v>
      </c>
      <c r="K977" s="40" t="s">
        <v>71</v>
      </c>
      <c r="L977" s="42">
        <v>5.85</v>
      </c>
      <c r="M977" s="40" t="s">
        <v>721</v>
      </c>
      <c r="N977" s="40">
        <v>2010</v>
      </c>
      <c r="O977" s="40" t="s">
        <v>83</v>
      </c>
      <c r="P977" s="40" t="s">
        <v>126</v>
      </c>
      <c r="Q977" s="40" t="s">
        <v>624</v>
      </c>
      <c r="R977" s="40">
        <v>12</v>
      </c>
      <c r="S977" s="40" t="b">
        <v>0</v>
      </c>
      <c r="T977" s="40" t="b">
        <v>1</v>
      </c>
      <c r="U977" s="42">
        <f t="shared" si="15"/>
        <v>5.85</v>
      </c>
      <c r="V977" s="42">
        <v>0</v>
      </c>
      <c r="W977" s="42">
        <v>5.85</v>
      </c>
    </row>
    <row r="978" spans="4:23" x14ac:dyDescent="0.15">
      <c r="D978" s="43" t="s">
        <v>1680</v>
      </c>
      <c r="E978" s="43" t="s">
        <v>1711</v>
      </c>
      <c r="F978" s="43" t="s">
        <v>1712</v>
      </c>
      <c r="G978" s="43">
        <v>2</v>
      </c>
      <c r="H978" s="44">
        <v>40513.529861111107</v>
      </c>
      <c r="I978" s="43">
        <v>0.65</v>
      </c>
      <c r="J978" s="43">
        <v>14729</v>
      </c>
      <c r="K978" s="43" t="s">
        <v>71</v>
      </c>
      <c r="L978" s="45">
        <v>1.3</v>
      </c>
      <c r="M978" s="43" t="s">
        <v>721</v>
      </c>
      <c r="N978" s="43">
        <v>2010</v>
      </c>
      <c r="O978" s="43" t="s">
        <v>83</v>
      </c>
      <c r="P978" s="43" t="s">
        <v>126</v>
      </c>
      <c r="Q978" s="43" t="s">
        <v>624</v>
      </c>
      <c r="R978" s="43">
        <v>12</v>
      </c>
      <c r="S978" s="43" t="b">
        <v>0</v>
      </c>
      <c r="T978" s="43" t="b">
        <v>1</v>
      </c>
      <c r="U978" s="45">
        <f t="shared" si="15"/>
        <v>1.3</v>
      </c>
      <c r="V978" s="45">
        <v>0</v>
      </c>
      <c r="W978" s="45">
        <v>1.3</v>
      </c>
    </row>
    <row r="979" spans="4:23" x14ac:dyDescent="0.15">
      <c r="D979" s="40" t="s">
        <v>1680</v>
      </c>
      <c r="E979" s="40" t="s">
        <v>1713</v>
      </c>
      <c r="F979" s="40" t="s">
        <v>1714</v>
      </c>
      <c r="G979" s="40">
        <v>1</v>
      </c>
      <c r="H979" s="41">
        <v>40513.529861111107</v>
      </c>
      <c r="I979" s="40">
        <v>0.65</v>
      </c>
      <c r="J979" s="40">
        <v>14729</v>
      </c>
      <c r="K979" s="40" t="s">
        <v>71</v>
      </c>
      <c r="L979" s="42">
        <v>0.65</v>
      </c>
      <c r="M979" s="40" t="s">
        <v>721</v>
      </c>
      <c r="N979" s="40">
        <v>2010</v>
      </c>
      <c r="O979" s="40" t="s">
        <v>83</v>
      </c>
      <c r="P979" s="40" t="s">
        <v>126</v>
      </c>
      <c r="Q979" s="40" t="s">
        <v>624</v>
      </c>
      <c r="R979" s="40">
        <v>12</v>
      </c>
      <c r="S979" s="40" t="b">
        <v>0</v>
      </c>
      <c r="T979" s="40" t="b">
        <v>1</v>
      </c>
      <c r="U979" s="42">
        <f t="shared" si="15"/>
        <v>0.65</v>
      </c>
      <c r="V979" s="42">
        <v>0</v>
      </c>
      <c r="W979" s="42">
        <v>0.65</v>
      </c>
    </row>
    <row r="980" spans="4:23" x14ac:dyDescent="0.15">
      <c r="D980" s="43" t="s">
        <v>1680</v>
      </c>
      <c r="E980" s="43" t="s">
        <v>1715</v>
      </c>
      <c r="F980" s="43" t="s">
        <v>1716</v>
      </c>
      <c r="G980" s="43">
        <v>3</v>
      </c>
      <c r="H980" s="44">
        <v>40513.529861111107</v>
      </c>
      <c r="I980" s="43">
        <v>0.65</v>
      </c>
      <c r="J980" s="43">
        <v>14729</v>
      </c>
      <c r="K980" s="43" t="s">
        <v>71</v>
      </c>
      <c r="L980" s="45">
        <v>1.95</v>
      </c>
      <c r="M980" s="43" t="s">
        <v>721</v>
      </c>
      <c r="N980" s="43">
        <v>2010</v>
      </c>
      <c r="O980" s="43" t="s">
        <v>83</v>
      </c>
      <c r="P980" s="43" t="s">
        <v>126</v>
      </c>
      <c r="Q980" s="43" t="s">
        <v>624</v>
      </c>
      <c r="R980" s="43">
        <v>12</v>
      </c>
      <c r="S980" s="43" t="b">
        <v>0</v>
      </c>
      <c r="T980" s="43" t="b">
        <v>1</v>
      </c>
      <c r="U980" s="45">
        <f t="shared" si="15"/>
        <v>1.95</v>
      </c>
      <c r="V980" s="45">
        <v>0</v>
      </c>
      <c r="W980" s="45">
        <v>1.95</v>
      </c>
    </row>
    <row r="981" spans="4:23" x14ac:dyDescent="0.15">
      <c r="D981" s="40" t="s">
        <v>1680</v>
      </c>
      <c r="E981" s="40" t="s">
        <v>1717</v>
      </c>
      <c r="F981" s="40" t="s">
        <v>1718</v>
      </c>
      <c r="G981" s="40">
        <v>2</v>
      </c>
      <c r="H981" s="41">
        <v>40513.529861111107</v>
      </c>
      <c r="I981" s="40">
        <v>0.65</v>
      </c>
      <c r="J981" s="40">
        <v>14729</v>
      </c>
      <c r="K981" s="40" t="s">
        <v>71</v>
      </c>
      <c r="L981" s="42">
        <v>1.3</v>
      </c>
      <c r="M981" s="40" t="s">
        <v>721</v>
      </c>
      <c r="N981" s="40">
        <v>2010</v>
      </c>
      <c r="O981" s="40" t="s">
        <v>83</v>
      </c>
      <c r="P981" s="40" t="s">
        <v>126</v>
      </c>
      <c r="Q981" s="40" t="s">
        <v>624</v>
      </c>
      <c r="R981" s="40">
        <v>12</v>
      </c>
      <c r="S981" s="40" t="b">
        <v>0</v>
      </c>
      <c r="T981" s="40" t="b">
        <v>1</v>
      </c>
      <c r="U981" s="42">
        <f t="shared" si="15"/>
        <v>1.3</v>
      </c>
      <c r="V981" s="42">
        <v>0</v>
      </c>
      <c r="W981" s="42">
        <v>1.3</v>
      </c>
    </row>
    <row r="982" spans="4:23" x14ac:dyDescent="0.15">
      <c r="D982" s="43" t="s">
        <v>1680</v>
      </c>
      <c r="E982" s="43" t="s">
        <v>1719</v>
      </c>
      <c r="F982" s="43" t="s">
        <v>1720</v>
      </c>
      <c r="G982" s="43">
        <v>2</v>
      </c>
      <c r="H982" s="44">
        <v>40513.529861111107</v>
      </c>
      <c r="I982" s="43">
        <v>0.65</v>
      </c>
      <c r="J982" s="43">
        <v>14729</v>
      </c>
      <c r="K982" s="43" t="s">
        <v>71</v>
      </c>
      <c r="L982" s="45">
        <v>1.3</v>
      </c>
      <c r="M982" s="43" t="s">
        <v>721</v>
      </c>
      <c r="N982" s="43">
        <v>2010</v>
      </c>
      <c r="O982" s="43" t="s">
        <v>83</v>
      </c>
      <c r="P982" s="43" t="s">
        <v>126</v>
      </c>
      <c r="Q982" s="43" t="s">
        <v>624</v>
      </c>
      <c r="R982" s="43">
        <v>12</v>
      </c>
      <c r="S982" s="43" t="b">
        <v>0</v>
      </c>
      <c r="T982" s="43" t="b">
        <v>1</v>
      </c>
      <c r="U982" s="45">
        <f t="shared" si="15"/>
        <v>1.3</v>
      </c>
      <c r="V982" s="45">
        <v>0</v>
      </c>
      <c r="W982" s="45">
        <v>1.3</v>
      </c>
    </row>
    <row r="983" spans="4:23" x14ac:dyDescent="0.15">
      <c r="D983" s="40" t="s">
        <v>1680</v>
      </c>
      <c r="E983" s="40" t="s">
        <v>1721</v>
      </c>
      <c r="F983" s="40" t="s">
        <v>1722</v>
      </c>
      <c r="G983" s="40">
        <v>1</v>
      </c>
      <c r="H983" s="41">
        <v>40513.529861111107</v>
      </c>
      <c r="I983" s="40">
        <v>0.65</v>
      </c>
      <c r="J983" s="40">
        <v>14729</v>
      </c>
      <c r="K983" s="40" t="s">
        <v>71</v>
      </c>
      <c r="L983" s="42">
        <v>0.65</v>
      </c>
      <c r="M983" s="40" t="s">
        <v>721</v>
      </c>
      <c r="N983" s="40">
        <v>2010</v>
      </c>
      <c r="O983" s="40" t="s">
        <v>83</v>
      </c>
      <c r="P983" s="40" t="s">
        <v>126</v>
      </c>
      <c r="Q983" s="40" t="s">
        <v>624</v>
      </c>
      <c r="R983" s="40">
        <v>12</v>
      </c>
      <c r="S983" s="40" t="b">
        <v>0</v>
      </c>
      <c r="T983" s="40" t="b">
        <v>1</v>
      </c>
      <c r="U983" s="42">
        <f t="shared" si="15"/>
        <v>0.65</v>
      </c>
      <c r="V983" s="42">
        <v>0</v>
      </c>
      <c r="W983" s="42">
        <v>0.65</v>
      </c>
    </row>
    <row r="984" spans="4:23" x14ac:dyDescent="0.15">
      <c r="D984" s="43" t="s">
        <v>1680</v>
      </c>
      <c r="E984" s="43" t="s">
        <v>168</v>
      </c>
      <c r="F984" s="43" t="s">
        <v>102</v>
      </c>
      <c r="G984" s="43">
        <v>3</v>
      </c>
      <c r="H984" s="44">
        <v>40513.529861111107</v>
      </c>
      <c r="I984" s="43">
        <v>2.95</v>
      </c>
      <c r="J984" s="43">
        <v>14729</v>
      </c>
      <c r="K984" s="43" t="s">
        <v>71</v>
      </c>
      <c r="L984" s="45">
        <v>8.8500000000000014</v>
      </c>
      <c r="M984" s="43" t="s">
        <v>721</v>
      </c>
      <c r="N984" s="43">
        <v>2010</v>
      </c>
      <c r="O984" s="43" t="s">
        <v>83</v>
      </c>
      <c r="P984" s="43" t="s">
        <v>126</v>
      </c>
      <c r="Q984" s="43" t="s">
        <v>624</v>
      </c>
      <c r="R984" s="43">
        <v>12</v>
      </c>
      <c r="S984" s="43" t="b">
        <v>0</v>
      </c>
      <c r="T984" s="43" t="b">
        <v>1</v>
      </c>
      <c r="U984" s="45">
        <f t="shared" si="15"/>
        <v>8.8500000000000014</v>
      </c>
      <c r="V984" s="45">
        <v>0</v>
      </c>
      <c r="W984" s="45">
        <v>8.8500000000000014</v>
      </c>
    </row>
    <row r="985" spans="4:23" x14ac:dyDescent="0.15">
      <c r="D985" s="40" t="s">
        <v>1680</v>
      </c>
      <c r="E985" s="40" t="s">
        <v>1723</v>
      </c>
      <c r="F985" s="40" t="s">
        <v>1724</v>
      </c>
      <c r="G985" s="40">
        <v>1</v>
      </c>
      <c r="H985" s="41">
        <v>40513.529861111107</v>
      </c>
      <c r="I985" s="40">
        <v>1.95</v>
      </c>
      <c r="J985" s="40">
        <v>14729</v>
      </c>
      <c r="K985" s="40" t="s">
        <v>71</v>
      </c>
      <c r="L985" s="42">
        <v>1.95</v>
      </c>
      <c r="M985" s="40" t="s">
        <v>721</v>
      </c>
      <c r="N985" s="40">
        <v>2010</v>
      </c>
      <c r="O985" s="40" t="s">
        <v>83</v>
      </c>
      <c r="P985" s="40" t="s">
        <v>126</v>
      </c>
      <c r="Q985" s="40" t="s">
        <v>624</v>
      </c>
      <c r="R985" s="40">
        <v>12</v>
      </c>
      <c r="S985" s="40" t="b">
        <v>0</v>
      </c>
      <c r="T985" s="40" t="b">
        <v>1</v>
      </c>
      <c r="U985" s="42">
        <f t="shared" si="15"/>
        <v>1.95</v>
      </c>
      <c r="V985" s="42">
        <v>0</v>
      </c>
      <c r="W985" s="42">
        <v>1.95</v>
      </c>
    </row>
    <row r="986" spans="4:23" x14ac:dyDescent="0.15">
      <c r="D986" s="43" t="s">
        <v>1680</v>
      </c>
      <c r="E986" s="43" t="s">
        <v>1725</v>
      </c>
      <c r="F986" s="43" t="s">
        <v>1726</v>
      </c>
      <c r="G986" s="43">
        <v>3</v>
      </c>
      <c r="H986" s="44">
        <v>40513.529861111107</v>
      </c>
      <c r="I986" s="43">
        <v>3.75</v>
      </c>
      <c r="J986" s="43">
        <v>14729</v>
      </c>
      <c r="K986" s="43" t="s">
        <v>71</v>
      </c>
      <c r="L986" s="45">
        <v>11.25</v>
      </c>
      <c r="M986" s="43" t="s">
        <v>721</v>
      </c>
      <c r="N986" s="43">
        <v>2010</v>
      </c>
      <c r="O986" s="43" t="s">
        <v>83</v>
      </c>
      <c r="P986" s="43" t="s">
        <v>126</v>
      </c>
      <c r="Q986" s="43" t="s">
        <v>624</v>
      </c>
      <c r="R986" s="43">
        <v>12</v>
      </c>
      <c r="S986" s="43" t="b">
        <v>0</v>
      </c>
      <c r="T986" s="43" t="b">
        <v>1</v>
      </c>
      <c r="U986" s="45">
        <f t="shared" si="15"/>
        <v>11.25</v>
      </c>
      <c r="V986" s="45">
        <v>0</v>
      </c>
      <c r="W986" s="45">
        <v>11.25</v>
      </c>
    </row>
    <row r="987" spans="4:23" x14ac:dyDescent="0.15">
      <c r="D987" s="40" t="s">
        <v>1680</v>
      </c>
      <c r="E987" s="40" t="s">
        <v>1592</v>
      </c>
      <c r="F987" s="40" t="s">
        <v>1593</v>
      </c>
      <c r="G987" s="40">
        <v>12</v>
      </c>
      <c r="H987" s="41">
        <v>40513.529861111107</v>
      </c>
      <c r="I987" s="40">
        <v>1.65</v>
      </c>
      <c r="J987" s="40">
        <v>14729</v>
      </c>
      <c r="K987" s="40" t="s">
        <v>71</v>
      </c>
      <c r="L987" s="42">
        <v>19.8</v>
      </c>
      <c r="M987" s="40" t="s">
        <v>721</v>
      </c>
      <c r="N987" s="40">
        <v>2010</v>
      </c>
      <c r="O987" s="40" t="s">
        <v>83</v>
      </c>
      <c r="P987" s="40" t="s">
        <v>126</v>
      </c>
      <c r="Q987" s="40" t="s">
        <v>624</v>
      </c>
      <c r="R987" s="40">
        <v>12</v>
      </c>
      <c r="S987" s="40" t="b">
        <v>0</v>
      </c>
      <c r="T987" s="40" t="b">
        <v>1</v>
      </c>
      <c r="U987" s="42">
        <f t="shared" si="15"/>
        <v>19.8</v>
      </c>
      <c r="V987" s="42">
        <v>0</v>
      </c>
      <c r="W987" s="42">
        <v>19.8</v>
      </c>
    </row>
    <row r="988" spans="4:23" x14ac:dyDescent="0.15">
      <c r="D988" s="43" t="s">
        <v>1680</v>
      </c>
      <c r="E988" s="43" t="s">
        <v>1727</v>
      </c>
      <c r="F988" s="43" t="s">
        <v>1728</v>
      </c>
      <c r="G988" s="43">
        <v>3</v>
      </c>
      <c r="H988" s="44">
        <v>40513.529861111107</v>
      </c>
      <c r="I988" s="43">
        <v>2.5499999999999998</v>
      </c>
      <c r="J988" s="43">
        <v>14729</v>
      </c>
      <c r="K988" s="43" t="s">
        <v>71</v>
      </c>
      <c r="L988" s="45">
        <v>7.6499999999999986</v>
      </c>
      <c r="M988" s="43" t="s">
        <v>721</v>
      </c>
      <c r="N988" s="43">
        <v>2010</v>
      </c>
      <c r="O988" s="43" t="s">
        <v>83</v>
      </c>
      <c r="P988" s="43" t="s">
        <v>126</v>
      </c>
      <c r="Q988" s="43" t="s">
        <v>624</v>
      </c>
      <c r="R988" s="43">
        <v>12</v>
      </c>
      <c r="S988" s="43" t="b">
        <v>0</v>
      </c>
      <c r="T988" s="43" t="b">
        <v>1</v>
      </c>
      <c r="U988" s="45">
        <f t="shared" si="15"/>
        <v>7.6499999999999986</v>
      </c>
      <c r="V988" s="45">
        <v>0</v>
      </c>
      <c r="W988" s="45">
        <v>7.6499999999999986</v>
      </c>
    </row>
    <row r="989" spans="4:23" x14ac:dyDescent="0.15">
      <c r="D989" s="40" t="s">
        <v>1680</v>
      </c>
      <c r="E989" s="40" t="s">
        <v>1511</v>
      </c>
      <c r="F989" s="40" t="s">
        <v>1512</v>
      </c>
      <c r="G989" s="40">
        <v>12</v>
      </c>
      <c r="H989" s="41">
        <v>40513.529861111107</v>
      </c>
      <c r="I989" s="40">
        <v>0.42</v>
      </c>
      <c r="J989" s="40">
        <v>14729</v>
      </c>
      <c r="K989" s="40" t="s">
        <v>71</v>
      </c>
      <c r="L989" s="42">
        <v>5.04</v>
      </c>
      <c r="M989" s="40" t="s">
        <v>721</v>
      </c>
      <c r="N989" s="40">
        <v>2010</v>
      </c>
      <c r="O989" s="40" t="s">
        <v>83</v>
      </c>
      <c r="P989" s="40" t="s">
        <v>126</v>
      </c>
      <c r="Q989" s="40" t="s">
        <v>624</v>
      </c>
      <c r="R989" s="40">
        <v>12</v>
      </c>
      <c r="S989" s="40" t="b">
        <v>0</v>
      </c>
      <c r="T989" s="40" t="b">
        <v>1</v>
      </c>
      <c r="U989" s="42">
        <f t="shared" si="15"/>
        <v>5.04</v>
      </c>
      <c r="V989" s="42">
        <v>0</v>
      </c>
      <c r="W989" s="42">
        <v>5.04</v>
      </c>
    </row>
    <row r="990" spans="4:23" x14ac:dyDescent="0.15">
      <c r="D990" s="43" t="s">
        <v>1680</v>
      </c>
      <c r="E990" s="43" t="s">
        <v>1097</v>
      </c>
      <c r="F990" s="43" t="s">
        <v>1098</v>
      </c>
      <c r="G990" s="43">
        <v>1</v>
      </c>
      <c r="H990" s="44">
        <v>40513.529861111107</v>
      </c>
      <c r="I990" s="43">
        <v>2.1</v>
      </c>
      <c r="J990" s="43">
        <v>14729</v>
      </c>
      <c r="K990" s="43" t="s">
        <v>71</v>
      </c>
      <c r="L990" s="45">
        <v>2.1</v>
      </c>
      <c r="M990" s="43" t="s">
        <v>721</v>
      </c>
      <c r="N990" s="43">
        <v>2010</v>
      </c>
      <c r="O990" s="43" t="s">
        <v>83</v>
      </c>
      <c r="P990" s="43" t="s">
        <v>126</v>
      </c>
      <c r="Q990" s="43" t="s">
        <v>624</v>
      </c>
      <c r="R990" s="43">
        <v>12</v>
      </c>
      <c r="S990" s="43" t="b">
        <v>0</v>
      </c>
      <c r="T990" s="43" t="b">
        <v>1</v>
      </c>
      <c r="U990" s="45">
        <f t="shared" si="15"/>
        <v>2.1</v>
      </c>
      <c r="V990" s="45">
        <v>0</v>
      </c>
      <c r="W990" s="45">
        <v>2.1</v>
      </c>
    </row>
    <row r="991" spans="4:23" x14ac:dyDescent="0.15">
      <c r="D991" s="40" t="s">
        <v>1680</v>
      </c>
      <c r="E991" s="40" t="s">
        <v>1729</v>
      </c>
      <c r="F991" s="40" t="s">
        <v>1730</v>
      </c>
      <c r="G991" s="40">
        <v>2</v>
      </c>
      <c r="H991" s="41">
        <v>40513.529861111107</v>
      </c>
      <c r="I991" s="40">
        <v>2.1</v>
      </c>
      <c r="J991" s="40">
        <v>14729</v>
      </c>
      <c r="K991" s="40" t="s">
        <v>71</v>
      </c>
      <c r="L991" s="42">
        <v>4.2</v>
      </c>
      <c r="M991" s="40" t="s">
        <v>721</v>
      </c>
      <c r="N991" s="40">
        <v>2010</v>
      </c>
      <c r="O991" s="40" t="s">
        <v>83</v>
      </c>
      <c r="P991" s="40" t="s">
        <v>126</v>
      </c>
      <c r="Q991" s="40" t="s">
        <v>624</v>
      </c>
      <c r="R991" s="40">
        <v>12</v>
      </c>
      <c r="S991" s="40" t="b">
        <v>0</v>
      </c>
      <c r="T991" s="40" t="b">
        <v>1</v>
      </c>
      <c r="U991" s="42">
        <f t="shared" si="15"/>
        <v>4.2</v>
      </c>
      <c r="V991" s="42">
        <v>0</v>
      </c>
      <c r="W991" s="42">
        <v>4.2</v>
      </c>
    </row>
    <row r="992" spans="4:23" x14ac:dyDescent="0.15">
      <c r="D992" s="43" t="s">
        <v>1680</v>
      </c>
      <c r="E992" s="43" t="s">
        <v>1596</v>
      </c>
      <c r="F992" s="43" t="s">
        <v>1597</v>
      </c>
      <c r="G992" s="43">
        <v>2</v>
      </c>
      <c r="H992" s="44">
        <v>40513.529861111107</v>
      </c>
      <c r="I992" s="43">
        <v>2.1</v>
      </c>
      <c r="J992" s="43">
        <v>14729</v>
      </c>
      <c r="K992" s="43" t="s">
        <v>71</v>
      </c>
      <c r="L992" s="45">
        <v>4.2</v>
      </c>
      <c r="M992" s="43" t="s">
        <v>721</v>
      </c>
      <c r="N992" s="43">
        <v>2010</v>
      </c>
      <c r="O992" s="43" t="s">
        <v>83</v>
      </c>
      <c r="P992" s="43" t="s">
        <v>126</v>
      </c>
      <c r="Q992" s="43" t="s">
        <v>624</v>
      </c>
      <c r="R992" s="43">
        <v>12</v>
      </c>
      <c r="S992" s="43" t="b">
        <v>0</v>
      </c>
      <c r="T992" s="43" t="b">
        <v>1</v>
      </c>
      <c r="U992" s="45">
        <f t="shared" si="15"/>
        <v>4.2</v>
      </c>
      <c r="V992" s="45">
        <v>0</v>
      </c>
      <c r="W992" s="45">
        <v>4.2</v>
      </c>
    </row>
    <row r="993" spans="4:23" x14ac:dyDescent="0.15">
      <c r="D993" s="40" t="s">
        <v>1680</v>
      </c>
      <c r="E993" s="40" t="s">
        <v>1598</v>
      </c>
      <c r="F993" s="40" t="s">
        <v>1599</v>
      </c>
      <c r="G993" s="40">
        <v>2</v>
      </c>
      <c r="H993" s="41">
        <v>40513.529861111107</v>
      </c>
      <c r="I993" s="40">
        <v>2.5499999999999998</v>
      </c>
      <c r="J993" s="40">
        <v>14729</v>
      </c>
      <c r="K993" s="40" t="s">
        <v>71</v>
      </c>
      <c r="L993" s="42">
        <v>5.0999999999999996</v>
      </c>
      <c r="M993" s="40" t="s">
        <v>721</v>
      </c>
      <c r="N993" s="40">
        <v>2010</v>
      </c>
      <c r="O993" s="40" t="s">
        <v>83</v>
      </c>
      <c r="P993" s="40" t="s">
        <v>126</v>
      </c>
      <c r="Q993" s="40" t="s">
        <v>624</v>
      </c>
      <c r="R993" s="40">
        <v>12</v>
      </c>
      <c r="S993" s="40" t="b">
        <v>0</v>
      </c>
      <c r="T993" s="40" t="b">
        <v>1</v>
      </c>
      <c r="U993" s="42">
        <f t="shared" si="15"/>
        <v>5.0999999999999996</v>
      </c>
      <c r="V993" s="42">
        <v>0</v>
      </c>
      <c r="W993" s="42">
        <v>5.0999999999999996</v>
      </c>
    </row>
    <row r="994" spans="4:23" x14ac:dyDescent="0.15">
      <c r="D994" s="43" t="s">
        <v>1680</v>
      </c>
      <c r="E994" s="43" t="s">
        <v>1731</v>
      </c>
      <c r="F994" s="43" t="s">
        <v>1732</v>
      </c>
      <c r="G994" s="43">
        <v>3</v>
      </c>
      <c r="H994" s="44">
        <v>40513.529861111107</v>
      </c>
      <c r="I994" s="43">
        <v>2.5499999999999998</v>
      </c>
      <c r="J994" s="43">
        <v>14729</v>
      </c>
      <c r="K994" s="43" t="s">
        <v>71</v>
      </c>
      <c r="L994" s="45">
        <v>7.6499999999999986</v>
      </c>
      <c r="M994" s="43" t="s">
        <v>721</v>
      </c>
      <c r="N994" s="43">
        <v>2010</v>
      </c>
      <c r="O994" s="43" t="s">
        <v>83</v>
      </c>
      <c r="P994" s="43" t="s">
        <v>126</v>
      </c>
      <c r="Q994" s="43" t="s">
        <v>624</v>
      </c>
      <c r="R994" s="43">
        <v>12</v>
      </c>
      <c r="S994" s="43" t="b">
        <v>0</v>
      </c>
      <c r="T994" s="43" t="b">
        <v>1</v>
      </c>
      <c r="U994" s="45">
        <f t="shared" si="15"/>
        <v>7.6499999999999986</v>
      </c>
      <c r="V994" s="45">
        <v>0</v>
      </c>
      <c r="W994" s="45">
        <v>7.6499999999999986</v>
      </c>
    </row>
    <row r="995" spans="4:23" x14ac:dyDescent="0.15">
      <c r="D995" s="40" t="s">
        <v>1680</v>
      </c>
      <c r="E995" s="40" t="s">
        <v>1733</v>
      </c>
      <c r="F995" s="40" t="s">
        <v>1734</v>
      </c>
      <c r="G995" s="40">
        <v>2</v>
      </c>
      <c r="H995" s="41">
        <v>40513.529861111107</v>
      </c>
      <c r="I995" s="40">
        <v>1.25</v>
      </c>
      <c r="J995" s="40">
        <v>14729</v>
      </c>
      <c r="K995" s="40" t="s">
        <v>71</v>
      </c>
      <c r="L995" s="42">
        <v>2.5</v>
      </c>
      <c r="M995" s="40" t="s">
        <v>721</v>
      </c>
      <c r="N995" s="40">
        <v>2010</v>
      </c>
      <c r="O995" s="40" t="s">
        <v>83</v>
      </c>
      <c r="P995" s="40" t="s">
        <v>126</v>
      </c>
      <c r="Q995" s="40" t="s">
        <v>624</v>
      </c>
      <c r="R995" s="40">
        <v>12</v>
      </c>
      <c r="S995" s="40" t="b">
        <v>0</v>
      </c>
      <c r="T995" s="40" t="b">
        <v>1</v>
      </c>
      <c r="U995" s="42">
        <f t="shared" si="15"/>
        <v>2.5</v>
      </c>
      <c r="V995" s="42">
        <v>0</v>
      </c>
      <c r="W995" s="42">
        <v>2.5</v>
      </c>
    </row>
    <row r="996" spans="4:23" x14ac:dyDescent="0.15">
      <c r="D996" s="43" t="s">
        <v>1680</v>
      </c>
      <c r="E996" s="43" t="s">
        <v>1735</v>
      </c>
      <c r="F996" s="43" t="s">
        <v>1736</v>
      </c>
      <c r="G996" s="43">
        <v>3</v>
      </c>
      <c r="H996" s="44">
        <v>40513.529861111107</v>
      </c>
      <c r="I996" s="43">
        <v>2.95</v>
      </c>
      <c r="J996" s="43">
        <v>14729</v>
      </c>
      <c r="K996" s="43" t="s">
        <v>71</v>
      </c>
      <c r="L996" s="45">
        <v>8.8500000000000014</v>
      </c>
      <c r="M996" s="43" t="s">
        <v>721</v>
      </c>
      <c r="N996" s="43">
        <v>2010</v>
      </c>
      <c r="O996" s="43" t="s">
        <v>83</v>
      </c>
      <c r="P996" s="43" t="s">
        <v>126</v>
      </c>
      <c r="Q996" s="43" t="s">
        <v>624</v>
      </c>
      <c r="R996" s="43">
        <v>12</v>
      </c>
      <c r="S996" s="43" t="b">
        <v>0</v>
      </c>
      <c r="T996" s="43" t="b">
        <v>1</v>
      </c>
      <c r="U996" s="45">
        <f t="shared" si="15"/>
        <v>8.8500000000000014</v>
      </c>
      <c r="V996" s="45">
        <v>0</v>
      </c>
      <c r="W996" s="45">
        <v>8.8500000000000014</v>
      </c>
    </row>
    <row r="997" spans="4:23" x14ac:dyDescent="0.15">
      <c r="D997" s="40" t="s">
        <v>1680</v>
      </c>
      <c r="E997" s="40" t="s">
        <v>1737</v>
      </c>
      <c r="F997" s="40" t="s">
        <v>1738</v>
      </c>
      <c r="G997" s="40">
        <v>2</v>
      </c>
      <c r="H997" s="41">
        <v>40513.529861111107</v>
      </c>
      <c r="I997" s="40">
        <v>2.95</v>
      </c>
      <c r="J997" s="40">
        <v>14729</v>
      </c>
      <c r="K997" s="40" t="s">
        <v>71</v>
      </c>
      <c r="L997" s="42">
        <v>5.9</v>
      </c>
      <c r="M997" s="40" t="s">
        <v>721</v>
      </c>
      <c r="N997" s="40">
        <v>2010</v>
      </c>
      <c r="O997" s="40" t="s">
        <v>83</v>
      </c>
      <c r="P997" s="40" t="s">
        <v>126</v>
      </c>
      <c r="Q997" s="40" t="s">
        <v>624</v>
      </c>
      <c r="R997" s="40">
        <v>12</v>
      </c>
      <c r="S997" s="40" t="b">
        <v>0</v>
      </c>
      <c r="T997" s="40" t="b">
        <v>1</v>
      </c>
      <c r="U997" s="42">
        <f t="shared" si="15"/>
        <v>5.9</v>
      </c>
      <c r="V997" s="42">
        <v>0</v>
      </c>
      <c r="W997" s="42">
        <v>5.9</v>
      </c>
    </row>
    <row r="998" spans="4:23" x14ac:dyDescent="0.15">
      <c r="D998" s="43" t="s">
        <v>1680</v>
      </c>
      <c r="E998" s="43" t="s">
        <v>199</v>
      </c>
      <c r="F998" s="43" t="s">
        <v>380</v>
      </c>
      <c r="G998" s="43">
        <v>3</v>
      </c>
      <c r="H998" s="44">
        <v>40513.529861111107</v>
      </c>
      <c r="I998" s="43">
        <v>0.85</v>
      </c>
      <c r="J998" s="43">
        <v>14729</v>
      </c>
      <c r="K998" s="43" t="s">
        <v>71</v>
      </c>
      <c r="L998" s="45">
        <v>2.5499999999999998</v>
      </c>
      <c r="M998" s="43" t="s">
        <v>721</v>
      </c>
      <c r="N998" s="43">
        <v>2010</v>
      </c>
      <c r="O998" s="43" t="s">
        <v>83</v>
      </c>
      <c r="P998" s="43" t="s">
        <v>126</v>
      </c>
      <c r="Q998" s="43" t="s">
        <v>624</v>
      </c>
      <c r="R998" s="43">
        <v>12</v>
      </c>
      <c r="S998" s="43" t="b">
        <v>0</v>
      </c>
      <c r="T998" s="43" t="b">
        <v>1</v>
      </c>
      <c r="U998" s="45">
        <f t="shared" si="15"/>
        <v>2.5499999999999998</v>
      </c>
      <c r="V998" s="45">
        <v>0</v>
      </c>
      <c r="W998" s="45">
        <v>2.5499999999999998</v>
      </c>
    </row>
    <row r="999" spans="4:23" x14ac:dyDescent="0.15">
      <c r="D999" s="40" t="s">
        <v>1680</v>
      </c>
      <c r="E999" s="40" t="s">
        <v>1739</v>
      </c>
      <c r="F999" s="40" t="s">
        <v>1740</v>
      </c>
      <c r="G999" s="40">
        <v>1</v>
      </c>
      <c r="H999" s="41">
        <v>40513.529861111107</v>
      </c>
      <c r="I999" s="40">
        <v>1.25</v>
      </c>
      <c r="J999" s="40">
        <v>14729</v>
      </c>
      <c r="K999" s="40" t="s">
        <v>71</v>
      </c>
      <c r="L999" s="42">
        <v>1.25</v>
      </c>
      <c r="M999" s="40" t="s">
        <v>721</v>
      </c>
      <c r="N999" s="40">
        <v>2010</v>
      </c>
      <c r="O999" s="40" t="s">
        <v>83</v>
      </c>
      <c r="P999" s="40" t="s">
        <v>126</v>
      </c>
      <c r="Q999" s="40" t="s">
        <v>624</v>
      </c>
      <c r="R999" s="40">
        <v>12</v>
      </c>
      <c r="S999" s="40" t="b">
        <v>0</v>
      </c>
      <c r="T999" s="40" t="b">
        <v>1</v>
      </c>
      <c r="U999" s="42">
        <f t="shared" si="15"/>
        <v>1.25</v>
      </c>
      <c r="V999" s="42">
        <v>0</v>
      </c>
      <c r="W999" s="42">
        <v>1.25</v>
      </c>
    </row>
    <row r="1000" spans="4:23" x14ac:dyDescent="0.15">
      <c r="D1000" s="43" t="s">
        <v>1680</v>
      </c>
      <c r="E1000" s="43" t="s">
        <v>211</v>
      </c>
      <c r="F1000" s="43" t="s">
        <v>212</v>
      </c>
      <c r="G1000" s="43">
        <v>1</v>
      </c>
      <c r="H1000" s="44">
        <v>40513.529861111107</v>
      </c>
      <c r="I1000" s="43">
        <v>1.65</v>
      </c>
      <c r="J1000" s="43">
        <v>14729</v>
      </c>
      <c r="K1000" s="43" t="s">
        <v>71</v>
      </c>
      <c r="L1000" s="45">
        <v>1.65</v>
      </c>
      <c r="M1000" s="43" t="s">
        <v>721</v>
      </c>
      <c r="N1000" s="43">
        <v>2010</v>
      </c>
      <c r="O1000" s="43" t="s">
        <v>83</v>
      </c>
      <c r="P1000" s="43" t="s">
        <v>126</v>
      </c>
      <c r="Q1000" s="43" t="s">
        <v>624</v>
      </c>
      <c r="R1000" s="43">
        <v>12</v>
      </c>
      <c r="S1000" s="43" t="b">
        <v>0</v>
      </c>
      <c r="T1000" s="43" t="b">
        <v>1</v>
      </c>
      <c r="U1000" s="45">
        <f t="shared" si="15"/>
        <v>1.65</v>
      </c>
      <c r="V1000" s="45">
        <v>0</v>
      </c>
      <c r="W1000" s="45">
        <v>1.65</v>
      </c>
    </row>
    <row r="1001" spans="4:23" x14ac:dyDescent="0.15">
      <c r="D1001" s="40" t="s">
        <v>1680</v>
      </c>
      <c r="E1001" s="40" t="s">
        <v>1049</v>
      </c>
      <c r="F1001" s="40" t="s">
        <v>1050</v>
      </c>
      <c r="G1001" s="40">
        <v>1</v>
      </c>
      <c r="H1001" s="41">
        <v>40513.529861111107</v>
      </c>
      <c r="I1001" s="40">
        <v>1.25</v>
      </c>
      <c r="J1001" s="40">
        <v>14729</v>
      </c>
      <c r="K1001" s="40" t="s">
        <v>71</v>
      </c>
      <c r="L1001" s="42">
        <v>1.25</v>
      </c>
      <c r="M1001" s="40" t="s">
        <v>721</v>
      </c>
      <c r="N1001" s="40">
        <v>2010</v>
      </c>
      <c r="O1001" s="40" t="s">
        <v>83</v>
      </c>
      <c r="P1001" s="40" t="s">
        <v>126</v>
      </c>
      <c r="Q1001" s="40" t="s">
        <v>624</v>
      </c>
      <c r="R1001" s="40">
        <v>12</v>
      </c>
      <c r="S1001" s="40" t="b">
        <v>0</v>
      </c>
      <c r="T1001" s="40" t="b">
        <v>1</v>
      </c>
      <c r="U1001" s="42">
        <f t="shared" si="15"/>
        <v>1.25</v>
      </c>
      <c r="V1001" s="42">
        <v>0</v>
      </c>
      <c r="W1001" s="42">
        <v>1.25</v>
      </c>
    </row>
    <row r="1002" spans="4:23" x14ac:dyDescent="0.15">
      <c r="D1002" s="43" t="s">
        <v>1680</v>
      </c>
      <c r="E1002" s="43" t="s">
        <v>1741</v>
      </c>
      <c r="F1002" s="43" t="s">
        <v>1742</v>
      </c>
      <c r="G1002" s="43">
        <v>1</v>
      </c>
      <c r="H1002" s="44">
        <v>40513.529861111107</v>
      </c>
      <c r="I1002" s="43">
        <v>1.25</v>
      </c>
      <c r="J1002" s="43">
        <v>14729</v>
      </c>
      <c r="K1002" s="43" t="s">
        <v>71</v>
      </c>
      <c r="L1002" s="45">
        <v>1.25</v>
      </c>
      <c r="M1002" s="43" t="s">
        <v>721</v>
      </c>
      <c r="N1002" s="43">
        <v>2010</v>
      </c>
      <c r="O1002" s="43" t="s">
        <v>83</v>
      </c>
      <c r="P1002" s="43" t="s">
        <v>126</v>
      </c>
      <c r="Q1002" s="43" t="s">
        <v>624</v>
      </c>
      <c r="R1002" s="43">
        <v>12</v>
      </c>
      <c r="S1002" s="43" t="b">
        <v>0</v>
      </c>
      <c r="T1002" s="43" t="b">
        <v>1</v>
      </c>
      <c r="U1002" s="45">
        <f t="shared" si="15"/>
        <v>1.25</v>
      </c>
      <c r="V1002" s="45">
        <v>0</v>
      </c>
      <c r="W1002" s="45">
        <v>1.25</v>
      </c>
    </row>
    <row r="1003" spans="4:23" x14ac:dyDescent="0.15">
      <c r="D1003" s="40" t="s">
        <v>1680</v>
      </c>
      <c r="E1003" s="40" t="s">
        <v>1731</v>
      </c>
      <c r="F1003" s="40" t="s">
        <v>1732</v>
      </c>
      <c r="G1003" s="40">
        <v>1</v>
      </c>
      <c r="H1003" s="41">
        <v>40513.529861111107</v>
      </c>
      <c r="I1003" s="40">
        <v>2.5499999999999998</v>
      </c>
      <c r="J1003" s="40">
        <v>14729</v>
      </c>
      <c r="K1003" s="40" t="s">
        <v>71</v>
      </c>
      <c r="L1003" s="42">
        <v>2.5499999999999998</v>
      </c>
      <c r="M1003" s="40" t="s">
        <v>721</v>
      </c>
      <c r="N1003" s="40">
        <v>2010</v>
      </c>
      <c r="O1003" s="40" t="s">
        <v>83</v>
      </c>
      <c r="P1003" s="40" t="s">
        <v>126</v>
      </c>
      <c r="Q1003" s="40" t="s">
        <v>624</v>
      </c>
      <c r="R1003" s="40">
        <v>12</v>
      </c>
      <c r="S1003" s="40" t="b">
        <v>0</v>
      </c>
      <c r="T1003" s="40" t="b">
        <v>1</v>
      </c>
      <c r="U1003" s="42">
        <f t="shared" si="15"/>
        <v>2.5499999999999998</v>
      </c>
      <c r="V1003" s="42">
        <v>0</v>
      </c>
      <c r="W1003" s="42">
        <v>2.5499999999999998</v>
      </c>
    </row>
    <row r="1004" spans="4:23" x14ac:dyDescent="0.15">
      <c r="D1004" s="43" t="s">
        <v>1680</v>
      </c>
      <c r="E1004" s="43" t="s">
        <v>1743</v>
      </c>
      <c r="F1004" s="43" t="s">
        <v>1744</v>
      </c>
      <c r="G1004" s="43">
        <v>2</v>
      </c>
      <c r="H1004" s="44">
        <v>40513.529861111107</v>
      </c>
      <c r="I1004" s="43">
        <v>1.25</v>
      </c>
      <c r="J1004" s="43">
        <v>14729</v>
      </c>
      <c r="K1004" s="43" t="s">
        <v>71</v>
      </c>
      <c r="L1004" s="45">
        <v>2.5</v>
      </c>
      <c r="M1004" s="43" t="s">
        <v>721</v>
      </c>
      <c r="N1004" s="43">
        <v>2010</v>
      </c>
      <c r="O1004" s="43" t="s">
        <v>83</v>
      </c>
      <c r="P1004" s="43" t="s">
        <v>126</v>
      </c>
      <c r="Q1004" s="43" t="s">
        <v>624</v>
      </c>
      <c r="R1004" s="43">
        <v>12</v>
      </c>
      <c r="S1004" s="43" t="b">
        <v>0</v>
      </c>
      <c r="T1004" s="43" t="b">
        <v>1</v>
      </c>
      <c r="U1004" s="45">
        <f t="shared" si="15"/>
        <v>2.5</v>
      </c>
      <c r="V1004" s="45">
        <v>0</v>
      </c>
      <c r="W1004" s="45">
        <v>2.5</v>
      </c>
    </row>
    <row r="1006" spans="4:23" ht="18" customHeight="1" x14ac:dyDescent="0.15">
      <c r="D1006" s="84" t="s">
        <v>1745</v>
      </c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</row>
  </sheetData>
  <autoFilter ref="D4:W1004" xr:uid="{00000000-0009-0000-0000-00000A000000}"/>
  <mergeCells count="4">
    <mergeCell ref="D3:W3"/>
    <mergeCell ref="B1:B2"/>
    <mergeCell ref="D1006:W1006"/>
    <mergeCell ref="D1:W2"/>
  </mergeCells>
  <hyperlinks>
    <hyperlink ref="B3" location="'Dashboard'!A1" display="1 · Dashboard" xr:uid="{00000000-0004-0000-0A00-000000000000}"/>
    <hyperlink ref="B4" location="'Sales Analysis'!A1" display="2 · Sales Analysis" xr:uid="{00000000-0004-0000-0A00-000001000000}"/>
    <hyperlink ref="B5" location="'Monthly Analysis'!A1" display="3 · Monthly Analysis" xr:uid="{00000000-0004-0000-0A00-000002000000}"/>
    <hyperlink ref="B6" location="'Country Analysis'!A1" display="4 · Country Analysis" xr:uid="{00000000-0004-0000-0A00-000003000000}"/>
    <hyperlink ref="B7" location="'Product Analysis'!A1" display="5 · Product Analysis" xr:uid="{00000000-0004-0000-0A00-000004000000}"/>
    <hyperlink ref="B8" location="'Customer Analysis'!A1" display="6 · Customer Analysis" xr:uid="{00000000-0004-0000-0A00-000005000000}"/>
    <hyperlink ref="B9" location="'Returns &amp; Cancellations'!A1" display="7 · Returns &amp; Cancellations" xr:uid="{00000000-0004-0000-0A00-000006000000}"/>
    <hyperlink ref="B10" location="'Time Analysis'!A1" display="8 · Time Analysis" xr:uid="{00000000-0004-0000-0A00-000007000000}"/>
    <hyperlink ref="B11" location="'Data Quality'!A1" display="9 · Data Quality" xr:uid="{00000000-0004-0000-0A00-000008000000}"/>
    <hyperlink ref="B12" location="'Data Dictionary'!A1" display="10 · Data Dictionary" xr:uid="{00000000-0004-0000-0A00-000009000000}"/>
    <hyperlink ref="B13" location="'Transaction Data'!A1" display="11 · Transaction Data" xr:uid="{00000000-0004-0000-0A00-00000A000000}"/>
  </hyperlinks>
  <pageMargins left="0.75" right="0.75" top="1" bottom="1" header="0.5" footer="0.5"/>
  <pageSetup scale="3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Dashboard</vt:lpstr>
      <vt:lpstr>Sales Analysis</vt:lpstr>
      <vt:lpstr>Monthly Analysis</vt:lpstr>
      <vt:lpstr>Country Analysis</vt:lpstr>
      <vt:lpstr>Product Analysis</vt:lpstr>
      <vt:lpstr>Customer Analysis</vt:lpstr>
      <vt:lpstr>Returns &amp; Cancellations</vt:lpstr>
      <vt:lpstr>Time Analysis</vt:lpstr>
      <vt:lpstr>Data Quality</vt:lpstr>
      <vt:lpstr>Data Dictionary</vt:lpstr>
      <vt:lpstr>Transaction Data</vt:lpstr>
      <vt:lpstr>'Country Analysis'!Print_Area</vt:lpstr>
      <vt:lpstr>'Customer Analysis'!Print_Area</vt:lpstr>
      <vt:lpstr>'Data Dictionary'!Print_Area</vt:lpstr>
      <vt:lpstr>'Data Quality'!Print_Area</vt:lpstr>
      <vt:lpstr>'Monthly Analysis'!Print_Area</vt:lpstr>
      <vt:lpstr>'Product Analysis'!Print_Area</vt:lpstr>
      <vt:lpstr>'Returns &amp; Cancellations'!Print_Area</vt:lpstr>
      <vt:lpstr>'Sales Analysis'!Print_Area</vt:lpstr>
      <vt:lpstr>'Time Analysis'!Print_Area</vt:lpstr>
      <vt:lpstr>'Transaction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 guru</cp:lastModifiedBy>
  <cp:lastPrinted>2026-10-26T17:20:38Z</cp:lastPrinted>
  <dcterms:created xsi:type="dcterms:W3CDTF">2026-10-26T14:41:12Z</dcterms:created>
  <dcterms:modified xsi:type="dcterms:W3CDTF">2026-10-26T17:32:52Z</dcterms:modified>
</cp:coreProperties>
</file>